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corp\Documents\mi\Scorpioapn.github.io\outputs\agenda-excel-20260717\"/>
    </mc:Choice>
  </mc:AlternateContent>
  <xr:revisionPtr revIDLastSave="0" documentId="13_ncr:1_{2B010BF9-B229-4FF6-ADA1-1BDDC3BC72C1}" xr6:coauthVersionLast="47" xr6:coauthVersionMax="47" xr10:uidLastSave="{00000000-0000-0000-0000-000000000000}"/>
  <bookViews>
    <workbookView xWindow="7104" yWindow="1404" windowWidth="13068" windowHeight="11556" xr2:uid="{00000000-000D-0000-FFFF-FFFF00000000}"/>
  </bookViews>
  <sheets>
    <sheet name="操作台" sheetId="1" r:id="rId1"/>
    <sheet name="议程编辑" sheetId="2" r:id="rId2"/>
    <sheet name="A4议程" sheetId="3" r:id="rId3"/>
    <sheet name="A4续页" sheetId="4" r:id="rId4"/>
    <sheet name="模板库" sheetId="5" r:id="rId5"/>
    <sheet name="基础资料" sheetId="6" r:id="rId6"/>
    <sheet name="计算区" sheetId="7" state="hidden" r:id="rId7"/>
  </sheets>
  <definedNames>
    <definedName name="_xlnm.Print_Area" localSheetId="3">A4续页!$A$1:$P$48</definedName>
    <definedName name="_xlnm.Print_Area" localSheetId="2">A4议程!$A$1:$P$48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7" l="1"/>
  <c r="B23" i="7" s="1"/>
  <c r="K63" i="2" a="1"/>
  <c r="K63" i="2" s="1"/>
  <c r="J63" i="2" a="1"/>
  <c r="J63" i="2" s="1"/>
  <c r="I63" i="2" a="1"/>
  <c r="I63" i="2" s="1"/>
  <c r="H63" i="2" a="1"/>
  <c r="H63" i="2" s="1"/>
  <c r="G63" i="2" a="1"/>
  <c r="G63" i="2" s="1"/>
  <c r="E63" i="2" a="1"/>
  <c r="E63" i="2" s="1"/>
  <c r="D63" i="2" a="1"/>
  <c r="D63" i="2" s="1"/>
  <c r="C63" i="2" a="1"/>
  <c r="C63" i="2" s="1"/>
  <c r="B63" i="2" a="1"/>
  <c r="B63" i="2" s="1"/>
  <c r="N37" i="4" s="1"/>
  <c r="K62" i="2" a="1"/>
  <c r="K62" i="2" s="1"/>
  <c r="J62" i="2" a="1"/>
  <c r="J62" i="2" s="1"/>
  <c r="I62" i="2" a="1"/>
  <c r="I62" i="2" s="1"/>
  <c r="H62" i="2" a="1"/>
  <c r="H62" i="2" s="1"/>
  <c r="G62" i="2" a="1"/>
  <c r="G62" i="2" s="1"/>
  <c r="E62" i="2" a="1"/>
  <c r="E62" i="2" s="1"/>
  <c r="D62" i="2" a="1"/>
  <c r="D62" i="2" s="1"/>
  <c r="C62" i="2" a="1"/>
  <c r="C62" i="2" s="1"/>
  <c r="B62" i="2" a="1"/>
  <c r="B62" i="2" s="1"/>
  <c r="I36" i="4" s="1"/>
  <c r="K61" i="2" a="1"/>
  <c r="K61" i="2" s="1"/>
  <c r="J61" i="2" a="1"/>
  <c r="J61" i="2" s="1"/>
  <c r="I61" i="2" a="1"/>
  <c r="I61" i="2" s="1"/>
  <c r="H61" i="2" a="1"/>
  <c r="H61" i="2" s="1"/>
  <c r="G61" i="2" a="1"/>
  <c r="G61" i="2" s="1"/>
  <c r="E61" i="2" a="1"/>
  <c r="E61" i="2" s="1"/>
  <c r="D61" i="2" a="1"/>
  <c r="D61" i="2" s="1"/>
  <c r="C61" i="2" a="1"/>
  <c r="C61" i="2" s="1"/>
  <c r="B61" i="2" a="1"/>
  <c r="B61" i="2" s="1"/>
  <c r="Q61" i="2" s="1"/>
  <c r="K60" i="2" a="1"/>
  <c r="K60" i="2" s="1"/>
  <c r="J60" i="2" a="1"/>
  <c r="J60" i="2" s="1"/>
  <c r="I60" i="2" a="1"/>
  <c r="I60" i="2" s="1"/>
  <c r="H60" i="2" a="1"/>
  <c r="H60" i="2" s="1"/>
  <c r="G60" i="2" a="1"/>
  <c r="G60" i="2" s="1"/>
  <c r="E60" i="2" a="1"/>
  <c r="E60" i="2" s="1"/>
  <c r="D60" i="2" a="1"/>
  <c r="D60" i="2" s="1"/>
  <c r="C60" i="2" a="1"/>
  <c r="C60" i="2" s="1"/>
  <c r="B60" i="2" a="1"/>
  <c r="B60" i="2" s="1"/>
  <c r="O34" i="4" s="1"/>
  <c r="K59" i="2" a="1"/>
  <c r="K59" i="2" s="1"/>
  <c r="J59" i="2" a="1"/>
  <c r="J59" i="2" s="1"/>
  <c r="I59" i="2" a="1"/>
  <c r="I59" i="2" s="1"/>
  <c r="H59" i="2" a="1"/>
  <c r="H59" i="2" s="1"/>
  <c r="G59" i="2" a="1"/>
  <c r="G59" i="2" s="1"/>
  <c r="E59" i="2" a="1"/>
  <c r="E59" i="2" s="1"/>
  <c r="D59" i="2" a="1"/>
  <c r="D59" i="2" s="1"/>
  <c r="C59" i="2" a="1"/>
  <c r="C59" i="2" s="1"/>
  <c r="B59" i="2" a="1"/>
  <c r="B59" i="2" s="1"/>
  <c r="N33" i="4" s="1"/>
  <c r="K58" i="2" a="1"/>
  <c r="K58" i="2" s="1"/>
  <c r="J58" i="2" a="1"/>
  <c r="J58" i="2" s="1"/>
  <c r="I58" i="2" a="1"/>
  <c r="I58" i="2" s="1"/>
  <c r="H58" i="2" a="1"/>
  <c r="H58" i="2" s="1"/>
  <c r="G58" i="2" a="1"/>
  <c r="G58" i="2" s="1"/>
  <c r="E58" i="2" a="1"/>
  <c r="E58" i="2" s="1"/>
  <c r="D58" i="2" a="1"/>
  <c r="D58" i="2" s="1"/>
  <c r="C58" i="2" a="1"/>
  <c r="C58" i="2" s="1"/>
  <c r="B58" i="2" a="1"/>
  <c r="B58" i="2" s="1"/>
  <c r="I32" i="4" s="1"/>
  <c r="K57" i="2" a="1"/>
  <c r="K57" i="2" s="1"/>
  <c r="J57" i="2" a="1"/>
  <c r="J57" i="2" s="1"/>
  <c r="I57" i="2" a="1"/>
  <c r="I57" i="2" s="1"/>
  <c r="H57" i="2" a="1"/>
  <c r="H57" i="2" s="1"/>
  <c r="G57" i="2" a="1"/>
  <c r="G57" i="2" s="1"/>
  <c r="E57" i="2" a="1"/>
  <c r="E57" i="2" s="1"/>
  <c r="D57" i="2" a="1"/>
  <c r="D57" i="2" s="1"/>
  <c r="C57" i="2" a="1"/>
  <c r="C57" i="2" s="1"/>
  <c r="B57" i="2" a="1"/>
  <c r="B57" i="2" s="1"/>
  <c r="G31" i="4" s="1"/>
  <c r="K56" i="2" a="1"/>
  <c r="K56" i="2" s="1"/>
  <c r="J56" i="2" a="1"/>
  <c r="J56" i="2" s="1"/>
  <c r="I56" i="2" a="1"/>
  <c r="I56" i="2" s="1"/>
  <c r="H56" i="2" a="1"/>
  <c r="H56" i="2" s="1"/>
  <c r="G56" i="2" a="1"/>
  <c r="G56" i="2" s="1"/>
  <c r="E56" i="2" a="1"/>
  <c r="E56" i="2" s="1"/>
  <c r="D56" i="2" a="1"/>
  <c r="D56" i="2" s="1"/>
  <c r="C56" i="2" a="1"/>
  <c r="C56" i="2" s="1"/>
  <c r="B56" i="2" a="1"/>
  <c r="B56" i="2" s="1"/>
  <c r="Q56" i="2" s="1"/>
  <c r="K55" i="2" a="1"/>
  <c r="K55" i="2" s="1"/>
  <c r="J55" i="2" a="1"/>
  <c r="J55" i="2" s="1"/>
  <c r="I55" i="2" a="1"/>
  <c r="I55" i="2" s="1"/>
  <c r="H55" i="2" a="1"/>
  <c r="H55" i="2" s="1"/>
  <c r="G55" i="2" a="1"/>
  <c r="G55" i="2" s="1"/>
  <c r="E55" i="2" a="1"/>
  <c r="E55" i="2" s="1"/>
  <c r="D55" i="2" a="1"/>
  <c r="D55" i="2" s="1"/>
  <c r="C55" i="2" a="1"/>
  <c r="C55" i="2" s="1"/>
  <c r="B55" i="2" a="1"/>
  <c r="B55" i="2" s="1"/>
  <c r="O29" i="4" s="1"/>
  <c r="K54" i="2" a="1"/>
  <c r="K54" i="2" s="1"/>
  <c r="J54" i="2" a="1"/>
  <c r="J54" i="2" s="1"/>
  <c r="I54" i="2" a="1"/>
  <c r="I54" i="2" s="1"/>
  <c r="H54" i="2" a="1"/>
  <c r="H54" i="2" s="1"/>
  <c r="G54" i="2" a="1"/>
  <c r="G54" i="2" s="1"/>
  <c r="E54" i="2" a="1"/>
  <c r="E54" i="2" s="1"/>
  <c r="D54" i="2" a="1"/>
  <c r="D54" i="2" s="1"/>
  <c r="C54" i="2" a="1"/>
  <c r="C54" i="2" s="1"/>
  <c r="B54" i="2" a="1"/>
  <c r="B54" i="2" s="1"/>
  <c r="J28" i="4" s="1"/>
  <c r="Q53" i="2"/>
  <c r="K53" i="2" a="1"/>
  <c r="K53" i="2" s="1"/>
  <c r="J53" i="2" a="1"/>
  <c r="J53" i="2" s="1"/>
  <c r="I53" i="2" a="1"/>
  <c r="I53" i="2" s="1"/>
  <c r="H53" i="2" a="1"/>
  <c r="H53" i="2" s="1"/>
  <c r="G53" i="2" a="1"/>
  <c r="G53" i="2" s="1"/>
  <c r="E53" i="2" a="1"/>
  <c r="E53" i="2" s="1"/>
  <c r="D53" i="2" a="1"/>
  <c r="D53" i="2" s="1"/>
  <c r="C53" i="2" a="1"/>
  <c r="C53" i="2" s="1"/>
  <c r="B53" i="2" a="1"/>
  <c r="B53" i="2" s="1"/>
  <c r="K52" i="2" a="1"/>
  <c r="K52" i="2" s="1"/>
  <c r="J52" i="2" a="1"/>
  <c r="J52" i="2" s="1"/>
  <c r="I52" i="2" a="1"/>
  <c r="I52" i="2" s="1"/>
  <c r="H52" i="2" a="1"/>
  <c r="H52" i="2" s="1"/>
  <c r="G52" i="2" a="1"/>
  <c r="G52" i="2" s="1"/>
  <c r="E52" i="2" a="1"/>
  <c r="E52" i="2" s="1"/>
  <c r="D52" i="2" a="1"/>
  <c r="D52" i="2" s="1"/>
  <c r="C52" i="2" a="1"/>
  <c r="C52" i="2" s="1"/>
  <c r="B52" i="2" a="1"/>
  <c r="B52" i="2" s="1"/>
  <c r="O26" i="4" s="1"/>
  <c r="K51" i="2" a="1"/>
  <c r="K51" i="2" s="1"/>
  <c r="J51" i="2" a="1"/>
  <c r="J51" i="2" s="1"/>
  <c r="I51" i="2" a="1"/>
  <c r="I51" i="2" s="1"/>
  <c r="H51" i="2" a="1"/>
  <c r="H51" i="2" s="1"/>
  <c r="G51" i="2" a="1"/>
  <c r="G51" i="2" s="1"/>
  <c r="E51" i="2" a="1"/>
  <c r="E51" i="2" s="1"/>
  <c r="D51" i="2" a="1"/>
  <c r="D51" i="2" s="1"/>
  <c r="C51" i="2" a="1"/>
  <c r="C51" i="2" s="1"/>
  <c r="B51" i="2" a="1"/>
  <c r="B51" i="2" s="1"/>
  <c r="O25" i="4" s="1"/>
  <c r="K50" i="2" a="1"/>
  <c r="K50" i="2" s="1"/>
  <c r="J50" i="2" a="1"/>
  <c r="J50" i="2" s="1"/>
  <c r="I50" i="2" a="1"/>
  <c r="I50" i="2" s="1"/>
  <c r="H50" i="2" a="1"/>
  <c r="H50" i="2" s="1"/>
  <c r="G50" i="2" a="1"/>
  <c r="G50" i="2" s="1"/>
  <c r="E50" i="2" a="1"/>
  <c r="E50" i="2" s="1"/>
  <c r="D50" i="2" a="1"/>
  <c r="D50" i="2" s="1"/>
  <c r="C50" i="2" a="1"/>
  <c r="C50" i="2" s="1"/>
  <c r="B50" i="2" a="1"/>
  <c r="B50" i="2" s="1"/>
  <c r="J24" i="4" s="1"/>
  <c r="Q49" i="2"/>
  <c r="K49" i="2" a="1"/>
  <c r="K49" i="2" s="1"/>
  <c r="J49" i="2" a="1"/>
  <c r="J49" i="2" s="1"/>
  <c r="I49" i="2" a="1"/>
  <c r="I49" i="2" s="1"/>
  <c r="H49" i="2" a="1"/>
  <c r="H49" i="2" s="1"/>
  <c r="G49" i="2" a="1"/>
  <c r="G49" i="2" s="1"/>
  <c r="E49" i="2" a="1"/>
  <c r="E49" i="2" s="1"/>
  <c r="D49" i="2" a="1"/>
  <c r="D49" i="2" s="1"/>
  <c r="C49" i="2" a="1"/>
  <c r="C49" i="2" s="1"/>
  <c r="B49" i="2" a="1"/>
  <c r="B49" i="2" s="1"/>
  <c r="G23" i="4" s="1"/>
  <c r="K48" i="2" a="1"/>
  <c r="K48" i="2" s="1"/>
  <c r="J48" i="2" a="1"/>
  <c r="J48" i="2" s="1"/>
  <c r="I48" i="2" a="1"/>
  <c r="I48" i="2" s="1"/>
  <c r="H48" i="2" a="1"/>
  <c r="H48" i="2" s="1"/>
  <c r="G48" i="2" a="1"/>
  <c r="G48" i="2" s="1"/>
  <c r="E48" i="2" a="1"/>
  <c r="E48" i="2" s="1"/>
  <c r="D48" i="2" a="1"/>
  <c r="D48" i="2" s="1"/>
  <c r="C48" i="2" a="1"/>
  <c r="C48" i="2" s="1"/>
  <c r="B48" i="2" a="1"/>
  <c r="B48" i="2" s="1"/>
  <c r="Q48" i="2" s="1"/>
  <c r="K47" i="2" a="1"/>
  <c r="K47" i="2" s="1"/>
  <c r="J47" i="2" a="1"/>
  <c r="J47" i="2"/>
  <c r="I47" i="2" a="1"/>
  <c r="I47" i="2" s="1"/>
  <c r="H47" i="2" a="1"/>
  <c r="H47" i="2" s="1"/>
  <c r="G47" i="2" a="1"/>
  <c r="G47" i="2" s="1"/>
  <c r="E47" i="2" a="1"/>
  <c r="E47" i="2" s="1"/>
  <c r="D47" i="2" a="1"/>
  <c r="D47" i="2" s="1"/>
  <c r="C47" i="2" a="1"/>
  <c r="C47" i="2" s="1"/>
  <c r="B47" i="2" a="1"/>
  <c r="B47" i="2" s="1"/>
  <c r="O21" i="4" s="1"/>
  <c r="K46" i="2" a="1"/>
  <c r="K46" i="2" s="1"/>
  <c r="J46" i="2" a="1"/>
  <c r="J46" i="2" s="1"/>
  <c r="I46" i="2" a="1"/>
  <c r="I46" i="2" s="1"/>
  <c r="H46" i="2" a="1"/>
  <c r="H46" i="2" s="1"/>
  <c r="G46" i="2" a="1"/>
  <c r="G46" i="2" s="1"/>
  <c r="E46" i="2" a="1"/>
  <c r="E46" i="2" s="1"/>
  <c r="D46" i="2" a="1"/>
  <c r="D46" i="2" s="1"/>
  <c r="C46" i="2" a="1"/>
  <c r="C46" i="2" s="1"/>
  <c r="B46" i="2" a="1"/>
  <c r="B46" i="2" s="1"/>
  <c r="J20" i="4" s="1"/>
  <c r="Q45" i="2"/>
  <c r="K45" i="2" a="1"/>
  <c r="K45" i="2" s="1"/>
  <c r="J45" i="2" a="1"/>
  <c r="J45" i="2" s="1"/>
  <c r="I45" i="2" a="1"/>
  <c r="I45" i="2" s="1"/>
  <c r="H45" i="2" a="1"/>
  <c r="H45" i="2" s="1"/>
  <c r="G45" i="2" a="1"/>
  <c r="G45" i="2" s="1"/>
  <c r="E45" i="2" a="1"/>
  <c r="E45" i="2" s="1"/>
  <c r="D45" i="2" a="1"/>
  <c r="D45" i="2" s="1"/>
  <c r="C45" i="2" a="1"/>
  <c r="C45" i="2" s="1"/>
  <c r="B45" i="2" a="1"/>
  <c r="B45" i="2" s="1"/>
  <c r="Q44" i="2"/>
  <c r="K44" i="2" a="1"/>
  <c r="K44" i="2" s="1"/>
  <c r="J44" i="2" a="1"/>
  <c r="J44" i="2" s="1"/>
  <c r="I44" i="2" a="1"/>
  <c r="I44" i="2" s="1"/>
  <c r="H44" i="2" a="1"/>
  <c r="H44" i="2" s="1"/>
  <c r="G44" i="2" a="1"/>
  <c r="G44" i="2" s="1"/>
  <c r="E44" i="2" a="1"/>
  <c r="E44" i="2" s="1"/>
  <c r="D44" i="2" a="1"/>
  <c r="D44" i="2" s="1"/>
  <c r="C44" i="2" a="1"/>
  <c r="C44" i="2" s="1"/>
  <c r="B44" i="2" a="1"/>
  <c r="B44" i="2" s="1"/>
  <c r="O18" i="4" s="1"/>
  <c r="Q43" i="2"/>
  <c r="K43" i="2" a="1"/>
  <c r="K43" i="2" s="1"/>
  <c r="J43" i="2" a="1"/>
  <c r="J43" i="2" s="1"/>
  <c r="I43" i="2" a="1"/>
  <c r="I43" i="2" s="1"/>
  <c r="H43" i="2" a="1"/>
  <c r="H43" i="2" s="1"/>
  <c r="G43" i="2" a="1"/>
  <c r="G43" i="2" s="1"/>
  <c r="E43" i="2" a="1"/>
  <c r="E43" i="2" s="1"/>
  <c r="D43" i="2" a="1"/>
  <c r="D43" i="2" s="1"/>
  <c r="C43" i="2" a="1"/>
  <c r="C43" i="2" s="1"/>
  <c r="B43" i="2" a="1"/>
  <c r="B43" i="2" s="1"/>
  <c r="O17" i="4" s="1"/>
  <c r="K42" i="2" a="1"/>
  <c r="K42" i="2" s="1"/>
  <c r="J42" i="2" a="1"/>
  <c r="J42" i="2" s="1"/>
  <c r="I42" i="2" a="1"/>
  <c r="I42" i="2" s="1"/>
  <c r="H42" i="2" a="1"/>
  <c r="H42" i="2" s="1"/>
  <c r="G42" i="2" a="1"/>
  <c r="G42" i="2" s="1"/>
  <c r="E42" i="2" a="1"/>
  <c r="E42" i="2" s="1"/>
  <c r="D42" i="2" a="1"/>
  <c r="D42" i="2" s="1"/>
  <c r="C42" i="2" a="1"/>
  <c r="C42" i="2" s="1"/>
  <c r="B42" i="2" a="1"/>
  <c r="B42" i="2" s="1"/>
  <c r="J16" i="4" s="1"/>
  <c r="Q41" i="2"/>
  <c r="K41" i="2" a="1"/>
  <c r="K41" i="2" s="1"/>
  <c r="J41" i="2" a="1"/>
  <c r="J41" i="2" s="1"/>
  <c r="I41" i="2" a="1"/>
  <c r="I41" i="2" s="1"/>
  <c r="H41" i="2" a="1"/>
  <c r="H41" i="2" s="1"/>
  <c r="G41" i="2" a="1"/>
  <c r="G41" i="2" s="1"/>
  <c r="E41" i="2" a="1"/>
  <c r="E41" i="2" s="1"/>
  <c r="D41" i="2" a="1"/>
  <c r="D41" i="2" s="1"/>
  <c r="C41" i="2" a="1"/>
  <c r="C41" i="2" s="1"/>
  <c r="B41" i="2" a="1"/>
  <c r="B41" i="2" s="1"/>
  <c r="G15" i="4" s="1"/>
  <c r="Q40" i="2"/>
  <c r="K40" i="2" a="1"/>
  <c r="K40" i="2" s="1"/>
  <c r="J40" i="2" a="1"/>
  <c r="J40" i="2" s="1"/>
  <c r="I40" i="2" a="1"/>
  <c r="I40" i="2" s="1"/>
  <c r="H40" i="2" a="1"/>
  <c r="H40" i="2" s="1"/>
  <c r="G40" i="2" a="1"/>
  <c r="G40" i="2" s="1"/>
  <c r="E40" i="2" a="1"/>
  <c r="E40" i="2" s="1"/>
  <c r="D40" i="2" a="1"/>
  <c r="D40" i="2" s="1"/>
  <c r="C40" i="2" a="1"/>
  <c r="C40" i="2" s="1"/>
  <c r="B40" i="2" a="1"/>
  <c r="B40" i="2" s="1"/>
  <c r="Q39" i="2"/>
  <c r="K39" i="2" a="1"/>
  <c r="K39" i="2" s="1"/>
  <c r="J39" i="2" a="1"/>
  <c r="J39" i="2" s="1"/>
  <c r="I39" i="2" a="1"/>
  <c r="I39" i="2" s="1"/>
  <c r="H39" i="2" a="1"/>
  <c r="H39" i="2" s="1"/>
  <c r="G39" i="2" a="1"/>
  <c r="G39" i="2" s="1"/>
  <c r="E39" i="2" a="1"/>
  <c r="E39" i="2" s="1"/>
  <c r="D39" i="2" a="1"/>
  <c r="D39" i="2" s="1"/>
  <c r="C39" i="2" a="1"/>
  <c r="C39" i="2" s="1"/>
  <c r="B39" i="2" a="1"/>
  <c r="B39" i="2" s="1"/>
  <c r="O13" i="4" s="1"/>
  <c r="K38" i="2" a="1"/>
  <c r="K38" i="2" s="1"/>
  <c r="J38" i="2" a="1"/>
  <c r="J38" i="2" s="1"/>
  <c r="I38" i="2" a="1"/>
  <c r="I38" i="2" s="1"/>
  <c r="H38" i="2" a="1"/>
  <c r="H38" i="2" s="1"/>
  <c r="G38" i="2" a="1"/>
  <c r="G38" i="2" s="1"/>
  <c r="E38" i="2" a="1"/>
  <c r="E38" i="2" s="1"/>
  <c r="D38" i="2" a="1"/>
  <c r="D38" i="2" s="1"/>
  <c r="C38" i="2" a="1"/>
  <c r="C38" i="2" s="1"/>
  <c r="B38" i="2" a="1"/>
  <c r="B38" i="2" s="1"/>
  <c r="N12" i="4" s="1"/>
  <c r="Q37" i="2"/>
  <c r="K37" i="2" a="1"/>
  <c r="K37" i="2" s="1"/>
  <c r="J37" i="2" a="1"/>
  <c r="J37" i="2" s="1"/>
  <c r="I37" i="2" a="1"/>
  <c r="I37" i="2" s="1"/>
  <c r="H37" i="2" a="1"/>
  <c r="H37" i="2" s="1"/>
  <c r="G37" i="2" a="1"/>
  <c r="G37" i="2" s="1"/>
  <c r="E37" i="2" a="1"/>
  <c r="E37" i="2" s="1"/>
  <c r="D37" i="2" a="1"/>
  <c r="D37" i="2" s="1"/>
  <c r="C37" i="2" a="1"/>
  <c r="C37" i="2" s="1"/>
  <c r="B37" i="2" a="1"/>
  <c r="B37" i="2" s="1"/>
  <c r="Q36" i="2"/>
  <c r="K36" i="2" a="1"/>
  <c r="K36" i="2" s="1"/>
  <c r="J36" i="2" a="1"/>
  <c r="J36" i="2" s="1"/>
  <c r="I36" i="2" a="1"/>
  <c r="I36" i="2" s="1"/>
  <c r="H36" i="2" a="1"/>
  <c r="H36" i="2" s="1"/>
  <c r="G36" i="2" a="1"/>
  <c r="G36" i="2" s="1"/>
  <c r="E36" i="2" a="1"/>
  <c r="E36" i="2" s="1"/>
  <c r="D36" i="2" a="1"/>
  <c r="D36" i="2" s="1"/>
  <c r="C36" i="2" a="1"/>
  <c r="C36" i="2" s="1"/>
  <c r="B36" i="2" a="1"/>
  <c r="B36" i="2" s="1"/>
  <c r="F10" i="4" s="1"/>
  <c r="Q35" i="2"/>
  <c r="K35" i="2" a="1"/>
  <c r="K35" i="2" s="1"/>
  <c r="J35" i="2" a="1"/>
  <c r="J35" i="2" s="1"/>
  <c r="I35" i="2" a="1"/>
  <c r="I35" i="2" s="1"/>
  <c r="H35" i="2" a="1"/>
  <c r="H35" i="2" s="1"/>
  <c r="G35" i="2" a="1"/>
  <c r="G35" i="2" s="1"/>
  <c r="E35" i="2" a="1"/>
  <c r="E35" i="2" s="1"/>
  <c r="D35" i="2" a="1"/>
  <c r="D35" i="2" s="1"/>
  <c r="C35" i="2" a="1"/>
  <c r="C35" i="2" s="1"/>
  <c r="B35" i="2" a="1"/>
  <c r="B35" i="2" s="1"/>
  <c r="O9" i="4" s="1"/>
  <c r="K34" i="2" a="1"/>
  <c r="K34" i="2" s="1"/>
  <c r="J34" i="2" a="1"/>
  <c r="J34" i="2" s="1"/>
  <c r="I34" i="2" a="1"/>
  <c r="I34" i="2" s="1"/>
  <c r="H34" i="2" a="1"/>
  <c r="H34" i="2" s="1"/>
  <c r="G34" i="2" a="1"/>
  <c r="G34" i="2" s="1"/>
  <c r="E34" i="2" a="1"/>
  <c r="E34" i="2" s="1"/>
  <c r="D34" i="2" a="1"/>
  <c r="D34" i="2" s="1"/>
  <c r="C34" i="2" a="1"/>
  <c r="C34" i="2" s="1"/>
  <c r="B34" i="2" a="1"/>
  <c r="B34" i="2" s="1"/>
  <c r="N8" i="4" s="1"/>
  <c r="Q33" i="2"/>
  <c r="K33" i="2" a="1"/>
  <c r="K33" i="2" s="1"/>
  <c r="J33" i="2" a="1"/>
  <c r="J33" i="2" s="1"/>
  <c r="I33" i="2" a="1"/>
  <c r="I33" i="2" s="1"/>
  <c r="H33" i="2" a="1"/>
  <c r="H33" i="2" s="1"/>
  <c r="G33" i="2" a="1"/>
  <c r="G33" i="2" s="1"/>
  <c r="E33" i="2" a="1"/>
  <c r="E33" i="2" s="1"/>
  <c r="D33" i="2" a="1"/>
  <c r="D33" i="2" s="1"/>
  <c r="C33" i="2" a="1"/>
  <c r="C33" i="2" s="1"/>
  <c r="B33" i="2" a="1"/>
  <c r="B33" i="2" s="1"/>
  <c r="J37" i="3" s="1"/>
  <c r="Q32" i="2"/>
  <c r="K32" i="2" a="1"/>
  <c r="K32" i="2" s="1"/>
  <c r="J32" i="2" a="1"/>
  <c r="J32" i="2" s="1"/>
  <c r="I32" i="2" a="1"/>
  <c r="I32" i="2" s="1"/>
  <c r="H32" i="2" a="1"/>
  <c r="H32" i="2" s="1"/>
  <c r="G32" i="2" a="1"/>
  <c r="G32" i="2" s="1"/>
  <c r="E32" i="2" a="1"/>
  <c r="E32" i="2" s="1"/>
  <c r="D32" i="2" a="1"/>
  <c r="D32" i="2" s="1"/>
  <c r="C32" i="2" a="1"/>
  <c r="C32" i="2" s="1"/>
  <c r="B32" i="2" a="1"/>
  <c r="B32" i="2" s="1"/>
  <c r="Q31" i="2"/>
  <c r="K31" i="2" a="1"/>
  <c r="K31" i="2" s="1"/>
  <c r="J31" i="2" a="1"/>
  <c r="J31" i="2" s="1"/>
  <c r="I31" i="2" a="1"/>
  <c r="I31" i="2" s="1"/>
  <c r="H31" i="2" a="1"/>
  <c r="H31" i="2" s="1"/>
  <c r="G31" i="2" a="1"/>
  <c r="G31" i="2" s="1"/>
  <c r="E31" i="2" a="1"/>
  <c r="E31" i="2" s="1"/>
  <c r="D31" i="2" a="1"/>
  <c r="D31" i="2" s="1"/>
  <c r="C31" i="2" a="1"/>
  <c r="C31" i="2" s="1"/>
  <c r="B31" i="2" a="1"/>
  <c r="B31" i="2" s="1"/>
  <c r="O35" i="3" s="1"/>
  <c r="K30" i="2" a="1"/>
  <c r="K30" i="2" s="1"/>
  <c r="J30" i="2" a="1"/>
  <c r="J30" i="2" s="1"/>
  <c r="I30" i="2" a="1"/>
  <c r="I30" i="2" s="1"/>
  <c r="H30" i="2" a="1"/>
  <c r="H30" i="2" s="1"/>
  <c r="G30" i="2" a="1"/>
  <c r="G30" i="2" s="1"/>
  <c r="E30" i="2" a="1"/>
  <c r="E30" i="2" s="1"/>
  <c r="D30" i="2" a="1"/>
  <c r="D30" i="2" s="1"/>
  <c r="C30" i="2" a="1"/>
  <c r="C30" i="2" s="1"/>
  <c r="B30" i="2" a="1"/>
  <c r="B30" i="2" s="1"/>
  <c r="K29" i="2" a="1"/>
  <c r="K29" i="2" s="1"/>
  <c r="J29" i="2" a="1"/>
  <c r="J29" i="2" s="1"/>
  <c r="I29" i="2" a="1"/>
  <c r="I29" i="2" s="1"/>
  <c r="H29" i="2" a="1"/>
  <c r="H29" i="2" s="1"/>
  <c r="G29" i="2" a="1"/>
  <c r="G29" i="2" s="1"/>
  <c r="E29" i="2" a="1"/>
  <c r="E29" i="2" s="1"/>
  <c r="D29" i="2" a="1"/>
  <c r="D29" i="2" s="1"/>
  <c r="C29" i="2" a="1"/>
  <c r="C29" i="2" s="1"/>
  <c r="B29" i="2" a="1"/>
  <c r="B29" i="2" s="1"/>
  <c r="K28" i="2" a="1"/>
  <c r="K28" i="2" s="1"/>
  <c r="J28" i="2" a="1"/>
  <c r="J28" i="2" s="1"/>
  <c r="I28" i="2" a="1"/>
  <c r="I28" i="2" s="1"/>
  <c r="H28" i="2" a="1"/>
  <c r="H28" i="2" s="1"/>
  <c r="G28" i="2" a="1"/>
  <c r="G28" i="2" s="1"/>
  <c r="E28" i="2" a="1"/>
  <c r="E28" i="2" s="1"/>
  <c r="D28" i="2" a="1"/>
  <c r="D28" i="2" s="1"/>
  <c r="C28" i="2" a="1"/>
  <c r="C28" i="2" s="1"/>
  <c r="B28" i="2" a="1"/>
  <c r="B28" i="2" s="1"/>
  <c r="K27" i="2" a="1"/>
  <c r="K27" i="2" s="1"/>
  <c r="J27" i="2" a="1"/>
  <c r="J27" i="2" s="1"/>
  <c r="I27" i="2" a="1"/>
  <c r="I27" i="2" s="1"/>
  <c r="H27" i="2" a="1"/>
  <c r="H27" i="2" s="1"/>
  <c r="G27" i="2" a="1"/>
  <c r="G27" i="2" s="1"/>
  <c r="E27" i="2" a="1"/>
  <c r="E27" i="2" s="1"/>
  <c r="D27" i="2" a="1"/>
  <c r="D27" i="2" s="1"/>
  <c r="C27" i="2" a="1"/>
  <c r="C27" i="2" s="1"/>
  <c r="B27" i="2" a="1"/>
  <c r="B27" i="2" s="1"/>
  <c r="K26" i="2" a="1"/>
  <c r="K26" i="2" s="1"/>
  <c r="J26" i="2" a="1"/>
  <c r="J26" i="2" s="1"/>
  <c r="I26" i="2" a="1"/>
  <c r="I26" i="2" s="1"/>
  <c r="H26" i="2" a="1"/>
  <c r="H26" i="2" s="1"/>
  <c r="G26" i="2" a="1"/>
  <c r="G26" i="2" s="1"/>
  <c r="E26" i="2" a="1"/>
  <c r="E26" i="2" s="1"/>
  <c r="D26" i="2" a="1"/>
  <c r="D26" i="2" s="1"/>
  <c r="C26" i="2" a="1"/>
  <c r="C26" i="2" s="1"/>
  <c r="B26" i="2" a="1"/>
  <c r="B26" i="2" s="1"/>
  <c r="K25" i="2" a="1"/>
  <c r="K25" i="2" s="1"/>
  <c r="J25" i="2" a="1"/>
  <c r="J25" i="2" s="1"/>
  <c r="I25" i="2" a="1"/>
  <c r="I25" i="2" s="1"/>
  <c r="H25" i="2" a="1"/>
  <c r="H25" i="2" s="1"/>
  <c r="G25" i="2" a="1"/>
  <c r="G25" i="2" s="1"/>
  <c r="E25" i="2" a="1"/>
  <c r="E25" i="2" s="1"/>
  <c r="D25" i="2" a="1"/>
  <c r="D25" i="2" s="1"/>
  <c r="C25" i="2" a="1"/>
  <c r="C25" i="2" s="1"/>
  <c r="B25" i="2" a="1"/>
  <c r="B25" i="2" s="1"/>
  <c r="K24" i="2" a="1"/>
  <c r="K24" i="2" s="1"/>
  <c r="J24" i="2" a="1"/>
  <c r="J24" i="2" s="1"/>
  <c r="I24" i="2" a="1"/>
  <c r="I24" i="2" s="1"/>
  <c r="H24" i="2" a="1"/>
  <c r="H24" i="2" s="1"/>
  <c r="G24" i="2" a="1"/>
  <c r="G24" i="2" s="1"/>
  <c r="E24" i="2" a="1"/>
  <c r="E24" i="2" s="1"/>
  <c r="D24" i="2" a="1"/>
  <c r="D24" i="2" s="1"/>
  <c r="C24" i="2" a="1"/>
  <c r="C24" i="2" s="1"/>
  <c r="B24" i="2" a="1"/>
  <c r="B24" i="2" s="1"/>
  <c r="K23" i="2" a="1"/>
  <c r="K23" i="2" s="1"/>
  <c r="J23" i="2" a="1"/>
  <c r="J23" i="2" s="1"/>
  <c r="I23" i="2" a="1"/>
  <c r="I23" i="2" s="1"/>
  <c r="H23" i="2" a="1"/>
  <c r="H23" i="2" s="1"/>
  <c r="G23" i="2" a="1"/>
  <c r="G23" i="2" s="1"/>
  <c r="E23" i="2" a="1"/>
  <c r="E23" i="2" s="1"/>
  <c r="D23" i="2" a="1"/>
  <c r="D23" i="2" s="1"/>
  <c r="C23" i="2" a="1"/>
  <c r="C23" i="2" s="1"/>
  <c r="B23" i="2" a="1"/>
  <c r="B23" i="2" s="1"/>
  <c r="K22" i="2" a="1"/>
  <c r="K22" i="2" s="1"/>
  <c r="J22" i="2" a="1"/>
  <c r="J22" i="2" s="1"/>
  <c r="I22" i="2" a="1"/>
  <c r="I22" i="2" s="1"/>
  <c r="H22" i="2" a="1"/>
  <c r="H22" i="2" s="1"/>
  <c r="G22" i="2" a="1"/>
  <c r="G22" i="2" s="1"/>
  <c r="E22" i="2" a="1"/>
  <c r="E22" i="2" s="1"/>
  <c r="D22" i="2" a="1"/>
  <c r="D22" i="2" s="1"/>
  <c r="C22" i="2" a="1"/>
  <c r="C22" i="2" s="1"/>
  <c r="B22" i="2" a="1"/>
  <c r="B22" i="2" s="1"/>
  <c r="K21" i="2" a="1"/>
  <c r="K21" i="2" s="1"/>
  <c r="J21" i="2" a="1"/>
  <c r="J21" i="2" s="1"/>
  <c r="I21" i="2" a="1"/>
  <c r="I21" i="2" s="1"/>
  <c r="H21" i="2" a="1"/>
  <c r="H21" i="2" s="1"/>
  <c r="G21" i="2" a="1"/>
  <c r="G21" i="2" s="1"/>
  <c r="E21" i="2" a="1"/>
  <c r="E21" i="2" s="1"/>
  <c r="D21" i="2" a="1"/>
  <c r="D21" i="2" s="1"/>
  <c r="C21" i="2" a="1"/>
  <c r="C21" i="2" s="1"/>
  <c r="B21" i="2" a="1"/>
  <c r="B21" i="2" s="1"/>
  <c r="K20" i="2" a="1"/>
  <c r="K20" i="2" s="1"/>
  <c r="J20" i="2" a="1"/>
  <c r="J20" i="2" s="1"/>
  <c r="I20" i="2" a="1"/>
  <c r="I20" i="2" s="1"/>
  <c r="H20" i="2" a="1"/>
  <c r="H20" i="2" s="1"/>
  <c r="G20" i="2" a="1"/>
  <c r="G20" i="2" s="1"/>
  <c r="E20" i="2" a="1"/>
  <c r="E20" i="2" s="1"/>
  <c r="D20" i="2" a="1"/>
  <c r="D20" i="2" s="1"/>
  <c r="C20" i="2" a="1"/>
  <c r="C20" i="2" s="1"/>
  <c r="B20" i="2" a="1"/>
  <c r="B20" i="2" s="1"/>
  <c r="K19" i="2" a="1"/>
  <c r="K19" i="2" s="1"/>
  <c r="J19" i="2" a="1"/>
  <c r="J19" i="2" s="1"/>
  <c r="I19" i="2" a="1"/>
  <c r="I19" i="2" s="1"/>
  <c r="H19" i="2" a="1"/>
  <c r="H19" i="2" s="1"/>
  <c r="G19" i="2" a="1"/>
  <c r="G19" i="2" s="1"/>
  <c r="E19" i="2" a="1"/>
  <c r="E19" i="2"/>
  <c r="D19" i="2" a="1"/>
  <c r="D19" i="2" s="1"/>
  <c r="C19" i="2" a="1"/>
  <c r="C19" i="2" s="1"/>
  <c r="B19" i="2" a="1"/>
  <c r="B19" i="2" s="1"/>
  <c r="K18" i="2" a="1"/>
  <c r="K18" i="2" s="1"/>
  <c r="J18" i="2" a="1"/>
  <c r="J18" i="2" s="1"/>
  <c r="I18" i="2" a="1"/>
  <c r="I18" i="2" s="1"/>
  <c r="H18" i="2" a="1"/>
  <c r="H18" i="2" s="1"/>
  <c r="G18" i="2" a="1"/>
  <c r="G18" i="2" s="1"/>
  <c r="E18" i="2" a="1"/>
  <c r="E18" i="2" s="1"/>
  <c r="D18" i="2" a="1"/>
  <c r="D18" i="2" s="1"/>
  <c r="C18" i="2" a="1"/>
  <c r="C18" i="2" s="1"/>
  <c r="B18" i="2" a="1"/>
  <c r="B18" i="2" s="1"/>
  <c r="K17" i="2" a="1"/>
  <c r="K17" i="2" s="1"/>
  <c r="J17" i="2" a="1"/>
  <c r="J17" i="2" s="1"/>
  <c r="I17" i="2" a="1"/>
  <c r="I17" i="2" s="1"/>
  <c r="H17" i="2" a="1"/>
  <c r="H17" i="2" s="1"/>
  <c r="G17" i="2" a="1"/>
  <c r="G17" i="2" s="1"/>
  <c r="E17" i="2" a="1"/>
  <c r="E17" i="2" s="1"/>
  <c r="D17" i="2" a="1"/>
  <c r="D17" i="2" s="1"/>
  <c r="C17" i="2" a="1"/>
  <c r="C17" i="2" s="1"/>
  <c r="B17" i="2" a="1"/>
  <c r="B17" i="2" s="1"/>
  <c r="K16" i="2" a="1"/>
  <c r="K16" i="2" s="1"/>
  <c r="J16" i="2" a="1"/>
  <c r="J16" i="2" s="1"/>
  <c r="I16" i="2" a="1"/>
  <c r="I16" i="2" s="1"/>
  <c r="H16" i="2" a="1"/>
  <c r="H16" i="2" s="1"/>
  <c r="G16" i="2" a="1"/>
  <c r="G16" i="2" s="1"/>
  <c r="E16" i="2" a="1"/>
  <c r="E16" i="2" s="1"/>
  <c r="D16" i="2" a="1"/>
  <c r="D16" i="2" s="1"/>
  <c r="C16" i="2" a="1"/>
  <c r="C16" i="2" s="1"/>
  <c r="B16" i="2" a="1"/>
  <c r="B16" i="2" s="1"/>
  <c r="K15" i="2" a="1"/>
  <c r="K15" i="2" s="1"/>
  <c r="J15" i="2" a="1"/>
  <c r="J15" i="2" s="1"/>
  <c r="I15" i="2" a="1"/>
  <c r="I15" i="2" s="1"/>
  <c r="H15" i="2" a="1"/>
  <c r="H15" i="2" s="1"/>
  <c r="G15" i="2" a="1"/>
  <c r="G15" i="2" s="1"/>
  <c r="E15" i="2" a="1"/>
  <c r="E15" i="2" s="1"/>
  <c r="D15" i="2" a="1"/>
  <c r="D15" i="2" s="1"/>
  <c r="C15" i="2" a="1"/>
  <c r="C15" i="2" s="1"/>
  <c r="B15" i="2" a="1"/>
  <c r="B15" i="2" s="1"/>
  <c r="K14" i="2" a="1"/>
  <c r="K14" i="2" s="1"/>
  <c r="J14" i="2" a="1"/>
  <c r="J14" i="2" s="1"/>
  <c r="I14" i="2" a="1"/>
  <c r="I14" i="2" s="1"/>
  <c r="H14" i="2" a="1"/>
  <c r="H14" i="2" s="1"/>
  <c r="G14" i="2" a="1"/>
  <c r="G14" i="2" s="1"/>
  <c r="E14" i="2" a="1"/>
  <c r="E14" i="2" s="1"/>
  <c r="D14" i="2" a="1"/>
  <c r="D14" i="2" s="1"/>
  <c r="C14" i="2" a="1"/>
  <c r="C14" i="2" s="1"/>
  <c r="B14" i="2" a="1"/>
  <c r="B14" i="2" s="1"/>
  <c r="K13" i="2" a="1"/>
  <c r="K13" i="2" s="1"/>
  <c r="J13" i="2" a="1"/>
  <c r="J13" i="2" s="1"/>
  <c r="I13" i="2" a="1"/>
  <c r="I13" i="2" s="1"/>
  <c r="H13" i="2" a="1"/>
  <c r="H13" i="2" s="1"/>
  <c r="G13" i="2" a="1"/>
  <c r="G13" i="2" s="1"/>
  <c r="E13" i="2" a="1"/>
  <c r="E13" i="2" s="1"/>
  <c r="D13" i="2" a="1"/>
  <c r="D13" i="2" s="1"/>
  <c r="C13" i="2" a="1"/>
  <c r="C13" i="2" s="1"/>
  <c r="B13" i="2" a="1"/>
  <c r="B13" i="2" s="1"/>
  <c r="K12" i="2" a="1"/>
  <c r="K12" i="2" s="1"/>
  <c r="J12" i="2" a="1"/>
  <c r="J12" i="2" s="1"/>
  <c r="I12" i="2" a="1"/>
  <c r="I12" i="2" s="1"/>
  <c r="H12" i="2" a="1"/>
  <c r="H12" i="2" s="1"/>
  <c r="G12" i="2" a="1"/>
  <c r="G12" i="2" s="1"/>
  <c r="E12" i="2" a="1"/>
  <c r="E12" i="2" s="1"/>
  <c r="D12" i="2" a="1"/>
  <c r="D12" i="2" s="1"/>
  <c r="C12" i="2" a="1"/>
  <c r="C12" i="2" s="1"/>
  <c r="B12" i="2" a="1"/>
  <c r="B12" i="2" s="1"/>
  <c r="K11" i="2" a="1"/>
  <c r="K11" i="2" s="1"/>
  <c r="J11" i="2" a="1"/>
  <c r="J11" i="2" s="1"/>
  <c r="I11" i="2" a="1"/>
  <c r="I11" i="2" s="1"/>
  <c r="H11" i="2" a="1"/>
  <c r="H11" i="2" s="1"/>
  <c r="G11" i="2" a="1"/>
  <c r="G11" i="2" s="1"/>
  <c r="E11" i="2" a="1"/>
  <c r="E11" i="2" s="1"/>
  <c r="D11" i="2" a="1"/>
  <c r="D11" i="2" s="1"/>
  <c r="C11" i="2" a="1"/>
  <c r="C11" i="2" s="1"/>
  <c r="B11" i="2" a="1"/>
  <c r="B11" i="2" s="1"/>
  <c r="K10" i="2" a="1"/>
  <c r="K10" i="2" s="1"/>
  <c r="J10" i="2" a="1"/>
  <c r="J10" i="2" s="1"/>
  <c r="I10" i="2" a="1"/>
  <c r="I10" i="2" s="1"/>
  <c r="H10" i="2" a="1"/>
  <c r="H10" i="2" s="1"/>
  <c r="G10" i="2" a="1"/>
  <c r="G10" i="2" s="1"/>
  <c r="E10" i="2" a="1"/>
  <c r="E10" i="2" s="1"/>
  <c r="D10" i="2" a="1"/>
  <c r="D10" i="2" s="1"/>
  <c r="C10" i="2" a="1"/>
  <c r="C10" i="2" s="1"/>
  <c r="B10" i="2" a="1"/>
  <c r="B10" i="2" s="1"/>
  <c r="K9" i="2" a="1"/>
  <c r="K9" i="2" s="1"/>
  <c r="J9" i="2" a="1"/>
  <c r="J9" i="2" s="1"/>
  <c r="I9" i="2" a="1"/>
  <c r="I9" i="2" s="1"/>
  <c r="H9" i="2" a="1"/>
  <c r="H9" i="2" s="1"/>
  <c r="G9" i="2" a="1"/>
  <c r="G9" i="2" s="1"/>
  <c r="E9" i="2" a="1"/>
  <c r="E9" i="2" s="1"/>
  <c r="D9" i="2" a="1"/>
  <c r="D9" i="2" s="1"/>
  <c r="C9" i="2" a="1"/>
  <c r="C9" i="2" s="1"/>
  <c r="B9" i="2" a="1"/>
  <c r="B9" i="2" s="1"/>
  <c r="K8" i="2" a="1"/>
  <c r="K8" i="2" s="1"/>
  <c r="J8" i="2" a="1"/>
  <c r="J8" i="2" s="1"/>
  <c r="I8" i="2" a="1"/>
  <c r="I8" i="2" s="1"/>
  <c r="H8" i="2" a="1"/>
  <c r="H8" i="2" s="1"/>
  <c r="G8" i="2" a="1"/>
  <c r="G8" i="2" s="1"/>
  <c r="E8" i="2" a="1"/>
  <c r="E8" i="2" s="1"/>
  <c r="D8" i="2" a="1"/>
  <c r="D8" i="2" s="1"/>
  <c r="C8" i="2" a="1"/>
  <c r="C8" i="2" s="1"/>
  <c r="B8" i="2" a="1"/>
  <c r="B8" i="2" s="1"/>
  <c r="K7" i="2" a="1"/>
  <c r="K7" i="2" s="1"/>
  <c r="J7" i="2" a="1"/>
  <c r="J7" i="2" s="1"/>
  <c r="I7" i="2" a="1"/>
  <c r="I7" i="2" s="1"/>
  <c r="H7" i="2" a="1"/>
  <c r="H7" i="2" s="1"/>
  <c r="G7" i="2" a="1"/>
  <c r="G7" i="2" s="1"/>
  <c r="E7" i="2" a="1"/>
  <c r="E7" i="2" s="1"/>
  <c r="D7" i="2" a="1"/>
  <c r="D7" i="2" s="1"/>
  <c r="C7" i="2" a="1"/>
  <c r="C7" i="2"/>
  <c r="B7" i="2" a="1"/>
  <c r="B7" i="2" s="1"/>
  <c r="K6" i="2" a="1"/>
  <c r="K6" i="2" s="1"/>
  <c r="J6" i="2" a="1"/>
  <c r="J6" i="2" s="1"/>
  <c r="I6" i="2" a="1"/>
  <c r="I6" i="2" s="1"/>
  <c r="H6" i="2" a="1"/>
  <c r="H6" i="2" s="1"/>
  <c r="G6" i="2" a="1"/>
  <c r="G6" i="2" s="1"/>
  <c r="E6" i="2" a="1"/>
  <c r="E6" i="2" s="1"/>
  <c r="D6" i="2" a="1"/>
  <c r="D6" i="2" s="1"/>
  <c r="C6" i="2" a="1"/>
  <c r="C6" i="2" s="1"/>
  <c r="B6" i="2" a="1"/>
  <c r="B6" i="2" s="1"/>
  <c r="K5" i="2" a="1"/>
  <c r="K5" i="2" s="1"/>
  <c r="J5" i="2" a="1"/>
  <c r="J5" i="2" s="1"/>
  <c r="I5" i="2" a="1"/>
  <c r="I5" i="2" s="1"/>
  <c r="H5" i="2" a="1"/>
  <c r="H5" i="2" s="1"/>
  <c r="G5" i="2" a="1"/>
  <c r="G5" i="2" s="1"/>
  <c r="E5" i="2" a="1"/>
  <c r="E5" i="2" s="1"/>
  <c r="D5" i="2" a="1"/>
  <c r="D5" i="2" s="1"/>
  <c r="C5" i="2" a="1"/>
  <c r="C5" i="2" s="1"/>
  <c r="B5" i="2" a="1"/>
  <c r="B5" i="2" s="1"/>
  <c r="K4" i="2" a="1"/>
  <c r="K4" i="2" s="1"/>
  <c r="J4" i="2" a="1"/>
  <c r="J4" i="2" s="1"/>
  <c r="I4" i="2" a="1"/>
  <c r="I4" i="2" s="1"/>
  <c r="H4" i="2" a="1"/>
  <c r="H4" i="2" s="1"/>
  <c r="G4" i="2" a="1"/>
  <c r="G4" i="2" s="1"/>
  <c r="E4" i="2" a="1"/>
  <c r="E4" i="2" s="1"/>
  <c r="D4" i="2" a="1"/>
  <c r="D4" i="2" s="1"/>
  <c r="C4" i="2" a="1"/>
  <c r="C4" i="2" s="1"/>
  <c r="B4" i="2" a="1"/>
  <c r="B4" i="2" s="1"/>
  <c r="Q2" i="1" a="1"/>
  <c r="Q2" i="1" s="1"/>
  <c r="A44" i="4"/>
  <c r="A40" i="4"/>
  <c r="A32" i="4"/>
  <c r="A15" i="4"/>
  <c r="A8" i="4"/>
  <c r="A5" i="4"/>
  <c r="M4" i="4"/>
  <c r="I4" i="4"/>
  <c r="A4" i="4"/>
  <c r="A3" i="4"/>
  <c r="A44" i="3"/>
  <c r="A40" i="3"/>
  <c r="A32" i="3"/>
  <c r="A15" i="3"/>
  <c r="A8" i="3"/>
  <c r="A5" i="3"/>
  <c r="M4" i="3"/>
  <c r="I4" i="3"/>
  <c r="A4" i="3"/>
  <c r="A3" i="3"/>
  <c r="Q47" i="2" l="1"/>
  <c r="Q51" i="2"/>
  <c r="Q55" i="2"/>
  <c r="Q59" i="2"/>
  <c r="B9" i="7"/>
  <c r="E9" i="7" s="1"/>
  <c r="L23" i="1" s="1"/>
  <c r="B16" i="7"/>
  <c r="M21" i="7" s="1"/>
  <c r="Q63" i="2"/>
  <c r="B17" i="7"/>
  <c r="Q52" i="2"/>
  <c r="Q60" i="2"/>
  <c r="B10" i="7"/>
  <c r="B18" i="7"/>
  <c r="E2" i="7"/>
  <c r="B11" i="7"/>
  <c r="B19" i="7"/>
  <c r="B24" i="7"/>
  <c r="Q57" i="2"/>
  <c r="B5" i="7"/>
  <c r="B12" i="7"/>
  <c r="B20" i="7"/>
  <c r="B25" i="7"/>
  <c r="Q34" i="2"/>
  <c r="Q38" i="2"/>
  <c r="Q42" i="2"/>
  <c r="Q46" i="2"/>
  <c r="B6" i="7"/>
  <c r="B13" i="7"/>
  <c r="B21" i="7"/>
  <c r="B26" i="7"/>
  <c r="Q50" i="2"/>
  <c r="Q54" i="2"/>
  <c r="Q58" i="2"/>
  <c r="B7" i="7"/>
  <c r="B14" i="7"/>
  <c r="M23" i="7" s="1"/>
  <c r="B27" i="7"/>
  <c r="Q62" i="2"/>
  <c r="B8" i="7"/>
  <c r="B15" i="7"/>
  <c r="M22" i="7" s="1"/>
  <c r="B22" i="7"/>
  <c r="B28" i="7"/>
  <c r="M16" i="7" s="1"/>
  <c r="O34" i="3"/>
  <c r="G32" i="3"/>
  <c r="F31" i="3"/>
  <c r="O30" i="3"/>
  <c r="N29" i="3"/>
  <c r="F27" i="3"/>
  <c r="O26" i="3"/>
  <c r="N21" i="3"/>
  <c r="F19" i="3"/>
  <c r="O18" i="3"/>
  <c r="O13" i="3"/>
  <c r="G11" i="3"/>
  <c r="O10" i="3"/>
  <c r="F31" i="2"/>
  <c r="J8" i="3"/>
  <c r="F41" i="2"/>
  <c r="F57" i="2"/>
  <c r="S7" i="2"/>
  <c r="S12" i="2"/>
  <c r="R33" i="2"/>
  <c r="S20" i="2"/>
  <c r="S30" i="2"/>
  <c r="F60" i="2"/>
  <c r="F44" i="2"/>
  <c r="S41" i="2"/>
  <c r="R52" i="2"/>
  <c r="S52" i="2"/>
  <c r="R38" i="2"/>
  <c r="R49" i="2"/>
  <c r="F52" i="2"/>
  <c r="S23" i="2"/>
  <c r="S49" i="2"/>
  <c r="S44" i="2"/>
  <c r="R62" i="2"/>
  <c r="S38" i="2"/>
  <c r="S46" i="2"/>
  <c r="F49" i="2"/>
  <c r="R59" i="2"/>
  <c r="S14" i="2"/>
  <c r="S17" i="2"/>
  <c r="F38" i="2"/>
  <c r="S55" i="2"/>
  <c r="S31" i="2"/>
  <c r="R36" i="2"/>
  <c r="F46" i="2"/>
  <c r="S47" i="2"/>
  <c r="S15" i="2"/>
  <c r="S36" i="2"/>
  <c r="R44" i="2"/>
  <c r="S6" i="2"/>
  <c r="S9" i="2"/>
  <c r="F33" i="2"/>
  <c r="S33" i="2"/>
  <c r="F36" i="2"/>
  <c r="S39" i="2"/>
  <c r="F55" i="2"/>
  <c r="F62" i="2"/>
  <c r="S62" i="2"/>
  <c r="F4" i="2"/>
  <c r="Q4" i="2" s="1"/>
  <c r="S4" i="2"/>
  <c r="S22" i="2"/>
  <c r="S28" i="2"/>
  <c r="F47" i="2"/>
  <c r="R51" i="2"/>
  <c r="S25" i="2"/>
  <c r="F39" i="2"/>
  <c r="R43" i="2"/>
  <c r="R54" i="2"/>
  <c r="R57" i="2"/>
  <c r="S60" i="2"/>
  <c r="R46" i="2"/>
  <c r="F54" i="2"/>
  <c r="S54" i="2"/>
  <c r="S57" i="2"/>
  <c r="R41" i="2"/>
  <c r="F15" i="3"/>
  <c r="O15" i="3"/>
  <c r="N15" i="3"/>
  <c r="J15" i="3"/>
  <c r="S11" i="2"/>
  <c r="G15" i="3"/>
  <c r="F23" i="3"/>
  <c r="O23" i="3"/>
  <c r="N23" i="3"/>
  <c r="J23" i="3"/>
  <c r="S19" i="2"/>
  <c r="G23" i="3"/>
  <c r="G27" i="4"/>
  <c r="F27" i="4"/>
  <c r="O27" i="4"/>
  <c r="S53" i="2"/>
  <c r="F53" i="2"/>
  <c r="N27" i="4"/>
  <c r="R53" i="2"/>
  <c r="J27" i="4"/>
  <c r="I27" i="4"/>
  <c r="J12" i="3"/>
  <c r="G12" i="3"/>
  <c r="F12" i="3"/>
  <c r="S8" i="2"/>
  <c r="O12" i="3"/>
  <c r="N12" i="3"/>
  <c r="G19" i="4"/>
  <c r="F19" i="4"/>
  <c r="O19" i="4"/>
  <c r="S45" i="2"/>
  <c r="F45" i="2"/>
  <c r="N19" i="4"/>
  <c r="R45" i="2"/>
  <c r="J19" i="4"/>
  <c r="I19" i="4"/>
  <c r="O30" i="4"/>
  <c r="N30" i="4"/>
  <c r="J30" i="4"/>
  <c r="I30" i="4"/>
  <c r="S56" i="2"/>
  <c r="F56" i="2"/>
  <c r="G30" i="4"/>
  <c r="R56" i="2"/>
  <c r="F30" i="4"/>
  <c r="I11" i="4"/>
  <c r="G11" i="4"/>
  <c r="F11" i="4"/>
  <c r="S37" i="2"/>
  <c r="F37" i="2"/>
  <c r="O11" i="4"/>
  <c r="R37" i="2"/>
  <c r="N11" i="4"/>
  <c r="J11" i="4"/>
  <c r="O22" i="4"/>
  <c r="N22" i="4"/>
  <c r="J22" i="4"/>
  <c r="I22" i="4"/>
  <c r="S48" i="2"/>
  <c r="F48" i="2"/>
  <c r="G22" i="4"/>
  <c r="R48" i="2"/>
  <c r="F22" i="4"/>
  <c r="G20" i="3"/>
  <c r="F20" i="3"/>
  <c r="O20" i="3"/>
  <c r="S16" i="2"/>
  <c r="N20" i="3"/>
  <c r="J20" i="3"/>
  <c r="F14" i="4"/>
  <c r="O14" i="4"/>
  <c r="N14" i="4"/>
  <c r="J14" i="4"/>
  <c r="S40" i="2"/>
  <c r="F40" i="2"/>
  <c r="I14" i="4"/>
  <c r="R40" i="2"/>
  <c r="G14" i="4"/>
  <c r="J33" i="3"/>
  <c r="G33" i="3"/>
  <c r="F33" i="3"/>
  <c r="S29" i="2"/>
  <c r="O33" i="3"/>
  <c r="N33" i="3"/>
  <c r="G28" i="3"/>
  <c r="F28" i="3"/>
  <c r="O28" i="3"/>
  <c r="S24" i="2"/>
  <c r="N28" i="3"/>
  <c r="J28" i="3"/>
  <c r="G36" i="3"/>
  <c r="F36" i="3"/>
  <c r="O36" i="3"/>
  <c r="N36" i="3"/>
  <c r="S32" i="2"/>
  <c r="F32" i="2"/>
  <c r="J36" i="3"/>
  <c r="R32" i="2"/>
  <c r="I36" i="3"/>
  <c r="F35" i="4"/>
  <c r="O35" i="4"/>
  <c r="N35" i="4"/>
  <c r="S61" i="2"/>
  <c r="F61" i="2"/>
  <c r="J35" i="4"/>
  <c r="R61" i="2"/>
  <c r="I35" i="4"/>
  <c r="G35" i="4"/>
  <c r="O9" i="3"/>
  <c r="N9" i="3"/>
  <c r="J9" i="3"/>
  <c r="G9" i="3"/>
  <c r="S5" i="2"/>
  <c r="F9" i="3"/>
  <c r="O14" i="3"/>
  <c r="N14" i="3"/>
  <c r="S10" i="2"/>
  <c r="J14" i="3"/>
  <c r="G14" i="3"/>
  <c r="F14" i="3"/>
  <c r="N17" i="3"/>
  <c r="J17" i="3"/>
  <c r="G17" i="3"/>
  <c r="F17" i="3"/>
  <c r="S13" i="2"/>
  <c r="O17" i="3"/>
  <c r="O22" i="3"/>
  <c r="N22" i="3"/>
  <c r="J22" i="3"/>
  <c r="S18" i="2"/>
  <c r="G22" i="3"/>
  <c r="F22" i="3"/>
  <c r="N25" i="3"/>
  <c r="J25" i="3"/>
  <c r="G25" i="3"/>
  <c r="F25" i="3"/>
  <c r="S21" i="2"/>
  <c r="O25" i="3"/>
  <c r="R35" i="2"/>
  <c r="N8" i="3"/>
  <c r="F10" i="3"/>
  <c r="J16" i="3"/>
  <c r="G19" i="3"/>
  <c r="O21" i="3"/>
  <c r="J24" i="3"/>
  <c r="G27" i="3"/>
  <c r="O29" i="3"/>
  <c r="G31" i="3"/>
  <c r="F35" i="3"/>
  <c r="N37" i="3"/>
  <c r="O8" i="4"/>
  <c r="G10" i="4"/>
  <c r="O12" i="4"/>
  <c r="I15" i="4"/>
  <c r="N16" i="4"/>
  <c r="F18" i="4"/>
  <c r="N20" i="4"/>
  <c r="I23" i="4"/>
  <c r="N24" i="4"/>
  <c r="F26" i="4"/>
  <c r="N28" i="4"/>
  <c r="I31" i="4"/>
  <c r="J32" i="4"/>
  <c r="O33" i="4"/>
  <c r="J36" i="4"/>
  <c r="O37" i="4"/>
  <c r="M5" i="7"/>
  <c r="M8" i="7"/>
  <c r="M10" i="7"/>
  <c r="S27" i="2"/>
  <c r="F35" i="2"/>
  <c r="S35" i="2"/>
  <c r="F43" i="2"/>
  <c r="S43" i="2"/>
  <c r="F51" i="2"/>
  <c r="S51" i="2"/>
  <c r="F59" i="2"/>
  <c r="S59" i="2"/>
  <c r="O8" i="3"/>
  <c r="G10" i="3"/>
  <c r="J11" i="3"/>
  <c r="N16" i="3"/>
  <c r="F18" i="3"/>
  <c r="N24" i="3"/>
  <c r="F26" i="3"/>
  <c r="F30" i="3"/>
  <c r="J32" i="3"/>
  <c r="G35" i="3"/>
  <c r="O37" i="3"/>
  <c r="F9" i="4"/>
  <c r="I10" i="4"/>
  <c r="F13" i="4"/>
  <c r="J15" i="4"/>
  <c r="O16" i="4"/>
  <c r="G18" i="4"/>
  <c r="O20" i="4"/>
  <c r="J23" i="4"/>
  <c r="O24" i="4"/>
  <c r="G26" i="4"/>
  <c r="O28" i="4"/>
  <c r="J31" i="4"/>
  <c r="N32" i="4"/>
  <c r="F34" i="4"/>
  <c r="N36" i="4"/>
  <c r="E3" i="7"/>
  <c r="L18" i="1" s="1"/>
  <c r="M14" i="7"/>
  <c r="M19" i="7"/>
  <c r="N11" i="3"/>
  <c r="F13" i="3"/>
  <c r="O16" i="3"/>
  <c r="G18" i="3"/>
  <c r="J19" i="3"/>
  <c r="O24" i="3"/>
  <c r="G26" i="3"/>
  <c r="J27" i="3"/>
  <c r="G30" i="3"/>
  <c r="J31" i="3"/>
  <c r="N32" i="3"/>
  <c r="F34" i="3"/>
  <c r="I35" i="3"/>
  <c r="G9" i="4"/>
  <c r="J10" i="4"/>
  <c r="G13" i="4"/>
  <c r="N15" i="4"/>
  <c r="F17" i="4"/>
  <c r="I18" i="4"/>
  <c r="F21" i="4"/>
  <c r="N23" i="4"/>
  <c r="F25" i="4"/>
  <c r="I26" i="4"/>
  <c r="F29" i="4"/>
  <c r="N31" i="4"/>
  <c r="O32" i="4"/>
  <c r="G34" i="4"/>
  <c r="O36" i="4"/>
  <c r="C2" i="7"/>
  <c r="E8" i="7" s="1"/>
  <c r="M6" i="7"/>
  <c r="M9" i="7"/>
  <c r="R34" i="2"/>
  <c r="R42" i="2"/>
  <c r="R50" i="2"/>
  <c r="R58" i="2"/>
  <c r="J10" i="3"/>
  <c r="O11" i="3"/>
  <c r="G13" i="3"/>
  <c r="N19" i="3"/>
  <c r="F21" i="3"/>
  <c r="N27" i="3"/>
  <c r="F29" i="3"/>
  <c r="N31" i="3"/>
  <c r="O32" i="3"/>
  <c r="G34" i="3"/>
  <c r="J35" i="3"/>
  <c r="F8" i="4"/>
  <c r="I9" i="4"/>
  <c r="N10" i="4"/>
  <c r="F12" i="4"/>
  <c r="I13" i="4"/>
  <c r="O15" i="4"/>
  <c r="G17" i="4"/>
  <c r="J18" i="4"/>
  <c r="G21" i="4"/>
  <c r="O23" i="4"/>
  <c r="G25" i="4"/>
  <c r="J26" i="4"/>
  <c r="G29" i="4"/>
  <c r="O31" i="4"/>
  <c r="F33" i="4"/>
  <c r="I34" i="4"/>
  <c r="F37" i="4"/>
  <c r="M15" i="7"/>
  <c r="M20" i="7"/>
  <c r="S26" i="2"/>
  <c r="R31" i="2"/>
  <c r="F34" i="2"/>
  <c r="S34" i="2"/>
  <c r="R39" i="2"/>
  <c r="F42" i="2"/>
  <c r="S42" i="2"/>
  <c r="R47" i="2"/>
  <c r="F50" i="2"/>
  <c r="S50" i="2"/>
  <c r="R55" i="2"/>
  <c r="F58" i="2"/>
  <c r="S58" i="2"/>
  <c r="R63" i="2"/>
  <c r="F8" i="3"/>
  <c r="N10" i="3"/>
  <c r="J18" i="3"/>
  <c r="O19" i="3"/>
  <c r="G21" i="3"/>
  <c r="J26" i="3"/>
  <c r="O27" i="3"/>
  <c r="G29" i="3"/>
  <c r="J30" i="3"/>
  <c r="O31" i="3"/>
  <c r="N35" i="3"/>
  <c r="F37" i="3"/>
  <c r="G8" i="4"/>
  <c r="J9" i="4"/>
  <c r="O10" i="4"/>
  <c r="G12" i="4"/>
  <c r="J13" i="4"/>
  <c r="F16" i="4"/>
  <c r="I17" i="4"/>
  <c r="N18" i="4"/>
  <c r="F20" i="4"/>
  <c r="I21" i="4"/>
  <c r="F24" i="4"/>
  <c r="I25" i="4"/>
  <c r="N26" i="4"/>
  <c r="F28" i="4"/>
  <c r="I29" i="4"/>
  <c r="G33" i="4"/>
  <c r="J34" i="4"/>
  <c r="G37" i="4"/>
  <c r="E4" i="7"/>
  <c r="R60" i="2"/>
  <c r="F63" i="2"/>
  <c r="S63" i="2"/>
  <c r="G8" i="3"/>
  <c r="J13" i="3"/>
  <c r="F16" i="3"/>
  <c r="N18" i="3"/>
  <c r="F24" i="3"/>
  <c r="N26" i="3"/>
  <c r="N30" i="3"/>
  <c r="J34" i="3"/>
  <c r="G37" i="3"/>
  <c r="I8" i="4"/>
  <c r="N9" i="4"/>
  <c r="I12" i="4"/>
  <c r="N13" i="4"/>
  <c r="G16" i="4"/>
  <c r="J17" i="4"/>
  <c r="G20" i="4"/>
  <c r="J21" i="4"/>
  <c r="G24" i="4"/>
  <c r="J25" i="4"/>
  <c r="G28" i="4"/>
  <c r="J29" i="4"/>
  <c r="F32" i="4"/>
  <c r="I33" i="4"/>
  <c r="N34" i="4"/>
  <c r="F36" i="4"/>
  <c r="I37" i="4"/>
  <c r="M7" i="7"/>
  <c r="M11" i="7"/>
  <c r="M12" i="7"/>
  <c r="M17" i="7"/>
  <c r="M24" i="7"/>
  <c r="I8" i="3"/>
  <c r="F11" i="3"/>
  <c r="N13" i="3"/>
  <c r="G16" i="3"/>
  <c r="J21" i="3"/>
  <c r="G24" i="3"/>
  <c r="J29" i="3"/>
  <c r="F32" i="3"/>
  <c r="N34" i="3"/>
  <c r="I37" i="3"/>
  <c r="J8" i="4"/>
  <c r="J12" i="4"/>
  <c r="F15" i="4"/>
  <c r="I16" i="4"/>
  <c r="N17" i="4"/>
  <c r="I20" i="4"/>
  <c r="N21" i="4"/>
  <c r="F23" i="4"/>
  <c r="I24" i="4"/>
  <c r="N25" i="4"/>
  <c r="I28" i="4"/>
  <c r="N29" i="4"/>
  <c r="F31" i="4"/>
  <c r="G32" i="4"/>
  <c r="J33" i="4"/>
  <c r="G36" i="4"/>
  <c r="J37" i="4"/>
  <c r="M25" i="7"/>
  <c r="E5" i="7"/>
  <c r="M13" i="7"/>
  <c r="M18" i="7"/>
  <c r="E6" i="7" l="1"/>
  <c r="E11" i="7" s="1"/>
  <c r="L25" i="1" s="1"/>
  <c r="E7" i="7"/>
  <c r="L20" i="1"/>
  <c r="F39" i="4"/>
  <c r="F39" i="3"/>
  <c r="R4" i="2"/>
  <c r="F5" i="2" s="1"/>
  <c r="R5" i="2" s="1"/>
  <c r="E12" i="7"/>
  <c r="L24" i="1" s="1"/>
  <c r="I9" i="3" l="1"/>
  <c r="Q5" i="2"/>
  <c r="F6" i="2" s="1"/>
  <c r="L21" i="1"/>
  <c r="I10" i="3" l="1"/>
  <c r="Q6" i="2"/>
  <c r="R6" i="2"/>
  <c r="F7" i="2" l="1"/>
  <c r="Q7" i="2" l="1"/>
  <c r="R7" i="2"/>
  <c r="I11" i="3"/>
  <c r="F8" i="2" l="1"/>
  <c r="Q8" i="2" l="1"/>
  <c r="I12" i="3"/>
  <c r="R8" i="2"/>
  <c r="F9" i="2" l="1"/>
  <c r="I13" i="3" l="1"/>
  <c r="Q9" i="2"/>
  <c r="R9" i="2"/>
  <c r="F10" i="2" l="1"/>
  <c r="R10" i="2" l="1"/>
  <c r="Q10" i="2"/>
  <c r="I14" i="3"/>
  <c r="F11" i="2" l="1"/>
  <c r="R11" i="2" l="1"/>
  <c r="Q11" i="2"/>
  <c r="F12" i="2" s="1"/>
  <c r="I15" i="3"/>
  <c r="I16" i="3" l="1"/>
  <c r="Q12" i="2"/>
  <c r="F13" i="2" s="1"/>
  <c r="R12" i="2"/>
  <c r="R13" i="2" l="1"/>
  <c r="Q13" i="2"/>
  <c r="F14" i="2" s="1"/>
  <c r="I17" i="3"/>
  <c r="R14" i="2" l="1"/>
  <c r="Q14" i="2"/>
  <c r="F15" i="2" s="1"/>
  <c r="I18" i="3"/>
  <c r="Q15" i="2" l="1"/>
  <c r="F16" i="2" s="1"/>
  <c r="I19" i="3"/>
  <c r="R15" i="2"/>
  <c r="Q16" i="2" l="1"/>
  <c r="F17" i="2" s="1"/>
  <c r="I20" i="3"/>
  <c r="R16" i="2"/>
  <c r="Q17" i="2" l="1"/>
  <c r="F18" i="2" s="1"/>
  <c r="I21" i="3"/>
  <c r="R17" i="2"/>
  <c r="I22" i="3" l="1"/>
  <c r="Q18" i="2"/>
  <c r="F19" i="2" s="1"/>
  <c r="R18" i="2"/>
  <c r="R19" i="2" l="1"/>
  <c r="Q19" i="2"/>
  <c r="F20" i="2" s="1"/>
  <c r="I23" i="3"/>
  <c r="I24" i="3" l="1"/>
  <c r="Q20" i="2"/>
  <c r="F21" i="2" s="1"/>
  <c r="R20" i="2"/>
  <c r="R21" i="2" l="1"/>
  <c r="Q21" i="2"/>
  <c r="I25" i="3"/>
  <c r="F22" i="2" l="1"/>
  <c r="R22" i="2" s="1"/>
  <c r="Q22" i="2" l="1"/>
  <c r="I26" i="3"/>
  <c r="F23" i="2"/>
  <c r="Q23" i="2" s="1"/>
  <c r="F24" i="2" l="1"/>
  <c r="I28" i="3" s="1"/>
  <c r="I27" i="3"/>
  <c r="R23" i="2"/>
  <c r="Q24" i="2" l="1"/>
  <c r="F25" i="2" s="1"/>
  <c r="I29" i="3" s="1"/>
  <c r="R24" i="2"/>
  <c r="R25" i="2" l="1"/>
  <c r="Q25" i="2"/>
  <c r="F26" i="2" s="1"/>
  <c r="I30" i="3" s="1"/>
  <c r="Q26" i="2" l="1"/>
  <c r="F27" i="2" s="1"/>
  <c r="Q27" i="2" s="1"/>
  <c r="R26" i="2"/>
  <c r="F28" i="2" l="1"/>
  <c r="Q28" i="2" s="1"/>
  <c r="I31" i="3"/>
  <c r="R27" i="2"/>
  <c r="F29" i="2" l="1"/>
  <c r="R29" i="2" s="1"/>
  <c r="I32" i="3"/>
  <c r="R28" i="2"/>
  <c r="Q29" i="2" l="1"/>
  <c r="F30" i="2" s="1"/>
  <c r="Q30" i="2" s="1"/>
  <c r="I33" i="3"/>
  <c r="R30" i="2" l="1"/>
  <c r="E16" i="7" s="1"/>
  <c r="I34" i="3"/>
  <c r="E14" i="7"/>
  <c r="E15" i="7"/>
  <c r="B3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tc={3EDC1636-1142-0F0B-DD60-0A9A48505361}</author>
    <author>tc={77C4ABCE-C35E-EFE3-1333-F593AC0AB9B3}</author>
  </authors>
  <commentList>
    <comment ref="B4" authorId="0" shapeId="0" xr:uid="{00000000-0006-0000-0000-000002000000}">
      <text>
        <t>[线程批注]
你的Excel版本可读取此线程批注; 但如果在更新版本的Excel中打开文件，则对批注所作的任何改动都将被删除。了解详细信息: https://go.microsoft.com/fwlink/?linkid=870924
注释:
    接龙导入、议程模板和手工编辑共用同一套修正与 A4 输出。</t>
      </text>
    </comment>
    <comment ref="B18" authorId="1" shapeId="0" xr:uid="{00000000-0006-0000-0000-000001000000}">
      <text>
        <t>[线程批注]
你的Excel版本可读取此线程批注; 但如果在更新版本的Excel中打开文件，则对批注所作的任何改动都将被删除。了解详细信息: https://go.microsoft.com/fwlink/?linkid=870924
注释:
    粘贴完整微信接龙文字。先检查右侧解析预览；仅当议程来源选择“接龙导入”时，A4议程才采用解析结果。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<sst xmlns="http://schemas.openxmlformats.org/spreadsheetml/2006/main" count="1173" uniqueCount="272">
  <si>
    <t>畅言议程生成器 · 操作台</t>
  </si>
  <si>
    <t>议程来源</t>
  </si>
  <si>
    <t>议程模板</t>
  </si>
  <si>
    <t>模板选择</t>
  </si>
  <si>
    <t>常规例会模板</t>
  </si>
  <si>
    <t>黄色区域可编辑 · 切换来源不会清空手工修正</t>
  </si>
  <si>
    <t>会议信息</t>
  </si>
  <si>
    <t>期数</t>
  </si>
  <si>
    <t>782</t>
  </si>
  <si>
    <t>主题</t>
  </si>
  <si>
    <t>复盘：我过的怎么样</t>
  </si>
  <si>
    <t>今日一词</t>
  </si>
  <si>
    <t>看见</t>
  </si>
  <si>
    <t>例会经理</t>
  </si>
  <si>
    <t>斯敏</t>
  </si>
  <si>
    <t>日期</t>
  </si>
  <si>
    <t>开始时间</t>
  </si>
  <si>
    <t>结束时间</t>
  </si>
  <si>
    <t>A4 页会根据来源选择解析字段或本页输入</t>
  </si>
  <si>
    <t>地点</t>
  </si>
  <si>
    <t>深圳市南山区科技园讯美科技广场3号楼4楼SPACE MAX会议室(高新中A出口)</t>
  </si>
  <si>
    <t>微信接龙粘贴区（已预置 779 期验收样例，可直接替换）</t>
  </si>
  <si>
    <t>解析预览</t>
  </si>
  <si>
    <t>@所有人
[烟花]畅言779期报名帖[烟花]
主题：志愿者
今日一词：服务
例会经理：莫婷
时间：6月9日 19:30-21:30
地点: 深圳南山•讯美科技3号楼4楼Space Max会议室
事务官开场：文星
主席致辞：卡卡
总主持：simon
来宾介绍：VPM
时间官：May
哼哈官：Jessica
语法官：莫婷
提问官：文星
即兴主持：莫婷
备稿演讲1：卡卡
备稿演讲2：史迪仔
备稿演讲3：[玫瑰]
即兴点评：女侠
备稿点评1：Jessica
备稿点评2：聪聪
备稿点评3：[玫瑰]
总点评：思玮
颁奖&amp;真情分享：卡卡
拍照侠：ALL</t>
  </si>
  <si>
    <t>未识别内容：完整原文保留在左侧；右侧未显示的内容请人工核对。</t>
  </si>
  <si>
    <t>状态检查</t>
  </si>
  <si>
    <t>操作顺序：先选来源 → 检查“议程编辑”黄色修正列 → 查看 A4议程；超过30项时再打印 A4续页。</t>
  </si>
  <si>
    <t>议程编辑与手工修正</t>
  </si>
  <si>
    <t>辅助</t>
  </si>
  <si>
    <t>序号</t>
  </si>
  <si>
    <t>项目键</t>
  </si>
  <si>
    <t>分组编号</t>
  </si>
  <si>
    <t>分组名称</t>
  </si>
  <si>
    <t>类型</t>
  </si>
  <si>
    <t>自动开始时间</t>
  </si>
  <si>
    <t>来源标题</t>
  </si>
  <si>
    <t>来源说明</t>
  </si>
  <si>
    <t>来源时长</t>
  </si>
  <si>
    <t>来源排程分钟</t>
  </si>
  <si>
    <t>来源负责人</t>
  </si>
  <si>
    <t>修正标题</t>
  </si>
  <si>
    <t>修正说明</t>
  </si>
  <si>
    <t>修正时长</t>
  </si>
  <si>
    <t>修正排程分钟</t>
  </si>
  <si>
    <t>修正负责人</t>
  </si>
  <si>
    <t>状态</t>
  </si>
  <si>
    <t>预计结束时间</t>
  </si>
  <si>
    <t>活动行</t>
  </si>
  <si>
    <t>Charm Voice Mandarin Toastmasters Club</t>
  </si>
  <si>
    <t>表达 · 倾听 · 反馈 · 领导力</t>
  </si>
  <si>
    <t>关于我们</t>
  </si>
  <si>
    <t>分组</t>
  </si>
  <si>
    <t>时间</t>
  </si>
  <si>
    <t>内容</t>
  </si>
  <si>
    <t>时长</t>
  </si>
  <si>
    <t>负责人</t>
  </si>
  <si>
    <t>会议守则</t>
  </si>
  <si>
    <t>关注我们 · 入会咨询</t>
  </si>
  <si>
    <t>取伙二维码</t>
  </si>
  <si>
    <t>入会咨询二维码</t>
  </si>
  <si>
    <t>2026–2027 官员团队</t>
  </si>
  <si>
    <t>下期预告</t>
  </si>
  <si>
    <t>续页 · 仅在议程超过30项时打印</t>
  </si>
  <si>
    <t>模板ID</t>
  </si>
  <si>
    <t>模板名称</t>
  </si>
  <si>
    <t>顺序</t>
  </si>
  <si>
    <t>标题</t>
  </si>
  <si>
    <t>说明</t>
  </si>
  <si>
    <t>时长显示</t>
  </si>
  <si>
    <t>排程分钟</t>
  </si>
  <si>
    <t>默认负责人</t>
  </si>
  <si>
    <t>行类型</t>
  </si>
  <si>
    <t>regular-meeting</t>
  </si>
  <si>
    <t>s-open</t>
  </si>
  <si>
    <t>section</t>
  </si>
  <si>
    <t>开场环节</t>
  </si>
  <si>
    <t>plain</t>
  </si>
  <si>
    <t>i-guest-checkin</t>
  </si>
  <si>
    <t>item</t>
  </si>
  <si>
    <t>来宾入会，相互认识与交流</t>
  </si>
  <si>
    <t>5</t>
  </si>
  <si>
    <t>全体会员</t>
  </si>
  <si>
    <t>i-warmup</t>
  </si>
  <si>
    <t>暖场互动</t>
  </si>
  <si>
    <t>i-rules</t>
  </si>
  <si>
    <t>事务官宣布会议规则</t>
  </si>
  <si>
    <t>1</t>
  </si>
  <si>
    <t>i-president</t>
  </si>
  <si>
    <t>主席致词</t>
  </si>
  <si>
    <t>3</t>
  </si>
  <si>
    <t>i-host-open</t>
  </si>
  <si>
    <t>总主持开场，介绍会议流程</t>
  </si>
  <si>
    <t>2</t>
  </si>
  <si>
    <t>i-timer-declare</t>
  </si>
  <si>
    <t>时间官宣言</t>
  </si>
  <si>
    <t>i-ah-declare</t>
  </si>
  <si>
    <t>哼哈官宣言</t>
  </si>
  <si>
    <t>i-grammar-declare</t>
  </si>
  <si>
    <t>语法官宣言</t>
  </si>
  <si>
    <t>s-impromptu</t>
  </si>
  <si>
    <t>即兴演讲</t>
  </si>
  <si>
    <t>impromptu</t>
  </si>
  <si>
    <t>i-impromptu-rule</t>
  </si>
  <si>
    <t>即兴主持介绍规则</t>
  </si>
  <si>
    <t>i-impromptu</t>
  </si>
  <si>
    <t>16</t>
  </si>
  <si>
    <t>全员</t>
  </si>
  <si>
    <t>s-prepared</t>
  </si>
  <si>
    <t>精心演讲环节</t>
  </si>
  <si>
    <t>prepared</t>
  </si>
  <si>
    <t>i-prepared-intro</t>
  </si>
  <si>
    <t>总主持人介绍本环节+串场</t>
  </si>
  <si>
    <t>i-speech-1</t>
  </si>
  <si>
    <t>备稿演讲1</t>
  </si>
  <si>
    <t>i-speech-2</t>
  </si>
  <si>
    <t>备稿演讲2</t>
  </si>
  <si>
    <t>15-20</t>
  </si>
  <si>
    <t>i-guests</t>
  </si>
  <si>
    <t>来宾介绍</t>
  </si>
  <si>
    <t>i-surprise</t>
  </si>
  <si>
    <t>惊喜环节</t>
  </si>
  <si>
    <t>7</t>
  </si>
  <si>
    <t>s-feedback</t>
  </si>
  <si>
    <t>茶歇&amp;会议反馈环节</t>
  </si>
  <si>
    <t>break</t>
  </si>
  <si>
    <t>i-break</t>
  </si>
  <si>
    <t>茶歇+大合照</t>
  </si>
  <si>
    <t>全场人员</t>
  </si>
  <si>
    <t>i-feedback-intro</t>
  </si>
  <si>
    <t>4</t>
  </si>
  <si>
    <t>i-impromptu-eval</t>
  </si>
  <si>
    <t>即兴点评</t>
  </si>
  <si>
    <t>8</t>
  </si>
  <si>
    <t>i-eval-1</t>
  </si>
  <si>
    <t>备稿点评1</t>
  </si>
  <si>
    <t>i-eval-2</t>
  </si>
  <si>
    <t>备稿点评2</t>
  </si>
  <si>
    <t>i-grammar-report</t>
  </si>
  <si>
    <t>语法官报告</t>
  </si>
  <si>
    <t>i-ah-report</t>
  </si>
  <si>
    <t>哼哈官报告</t>
  </si>
  <si>
    <t>i-timer-report</t>
  </si>
  <si>
    <t>时间官报告</t>
  </si>
  <si>
    <t>i-vote</t>
  </si>
  <si>
    <t>电子投票</t>
  </si>
  <si>
    <t>i-general-eval</t>
  </si>
  <si>
    <t>总点评</t>
  </si>
  <si>
    <t>s-share</t>
  </si>
  <si>
    <t>分享环节</t>
  </si>
  <si>
    <t>i-award</t>
  </si>
  <si>
    <t>颁奖&amp;真情分享</t>
  </si>
  <si>
    <t>i-close</t>
  </si>
  <si>
    <t>主席总结本期活动，结束会议</t>
  </si>
  <si>
    <t>impromptu-marathon</t>
  </si>
  <si>
    <t>即兴马拉松模板</t>
  </si>
  <si>
    <t>开场与规则</t>
  </si>
  <si>
    <t>10</t>
  </si>
  <si>
    <t>快速破冰，帮助来宾进入状态</t>
  </si>
  <si>
    <t>总主持开场，介绍即兴马拉松规则</t>
  </si>
  <si>
    <t>说明抽题、计时、投票与反馈方式</t>
  </si>
  <si>
    <t>s-round-1</t>
  </si>
  <si>
    <t>即兴马拉松 Round 1</t>
  </si>
  <si>
    <t>i-impromptu-rule-1</t>
  </si>
  <si>
    <t>即兴主持介绍第一轮题目</t>
  </si>
  <si>
    <t>轻松题，鼓励来宾参与</t>
  </si>
  <si>
    <t>i-impromptu-1</t>
  </si>
  <si>
    <t>即兴演讲 Round 1</t>
  </si>
  <si>
    <t>每人抽题后上台表达</t>
  </si>
  <si>
    <t>20</t>
  </si>
  <si>
    <t>现场所有人</t>
  </si>
  <si>
    <t>i-mini-feedback-1</t>
  </si>
  <si>
    <t>即时反馈与亮点记录</t>
  </si>
  <si>
    <t>记录金句、表达亮点与可改进点</t>
  </si>
  <si>
    <t>s-round-2</t>
  </si>
  <si>
    <t>即兴马拉松 Round 2</t>
  </si>
  <si>
    <t>i-impromptu-rule-2</t>
  </si>
  <si>
    <t>即兴主持介绍第二轮挑战</t>
  </si>
  <si>
    <t>加入关键词或情境限制</t>
  </si>
  <si>
    <t>i-impromptu-2</t>
  </si>
  <si>
    <t>即兴演讲 Round 2</t>
  </si>
  <si>
    <t>挑战更完整的观点结构</t>
  </si>
  <si>
    <t>6</t>
  </si>
  <si>
    <t>点评与报告</t>
  </si>
  <si>
    <t>针对两轮即兴演讲做整体反馈</t>
  </si>
  <si>
    <t>评选最佳即兴演讲与最佳进步</t>
  </si>
  <si>
    <t>s-close</t>
  </si>
  <si>
    <t>颁奖与结束</t>
  </si>
  <si>
    <t>字段</t>
  </si>
  <si>
    <t>可替换的内嵌图片（右键图片 → 更改图片）</t>
  </si>
  <si>
    <t>中文会名</t>
  </si>
  <si>
    <t>畅言中文国际演讲俱乐部</t>
  </si>
  <si>
    <t>英文会名</t>
  </si>
  <si>
    <t>俱乐部介绍</t>
  </si>
  <si>
    <t>畅言中文国际演讲俱乐部，成立于2009年，是南山第一家中文俱乐部，隶属于第118大区、D中区、D5小区。</t>
  </si>
  <si>
    <t>愿景</t>
  </si>
  <si>
    <t>打造全球最具人格魅力的演讲俱乐部。</t>
  </si>
  <si>
    <t>会议频率</t>
  </si>
  <si>
    <t>每周二晚</t>
  </si>
  <si>
    <t>President会长</t>
  </si>
  <si>
    <t>贾燕微</t>
  </si>
  <si>
    <t>Toastmasters Logo</t>
  </si>
  <si>
    <t>投票二维码</t>
  </si>
  <si>
    <t>VPE 教育副会长</t>
  </si>
  <si>
    <t>莫婷</t>
  </si>
  <si>
    <t>VPM 会员副会长</t>
  </si>
  <si>
    <t>Jessica</t>
  </si>
  <si>
    <t>VPPR 公关副会长</t>
  </si>
  <si>
    <t>史迪仔</t>
  </si>
  <si>
    <t>Secretary 秘书</t>
  </si>
  <si>
    <t>女侠</t>
  </si>
  <si>
    <t>Treasurer 财务</t>
  </si>
  <si>
    <t>聪聪</t>
  </si>
  <si>
    <t>Sergeant at Arms 接待官</t>
  </si>
  <si>
    <t>Venus Deng斯敏</t>
  </si>
  <si>
    <t>手机请调至静音｜请留意时间官提示｜欢迎鼓掌、反馈与投票｜入会咨询请联系会员副会长</t>
  </si>
  <si>
    <t>官员团队全文</t>
  </si>
  <si>
    <t>President会长：贾燕微
VPE 教育副会长：莫婷
VPM 会员副会长：Jessica
VPPR 公关副会长：史迪仔
Secretary 秘书：女侠
Treasurer 财务：聪聪
Sergeant at Arms 接待官：Venus Deng斯敏</t>
  </si>
  <si>
    <t>会议愿景</t>
  </si>
  <si>
    <t>会议愿景：很开心与大家建立一种愉悦的学习旅程，谢谢大家~</t>
  </si>
  <si>
    <t>下期主题</t>
  </si>
  <si>
    <t>人生暂停5分钟</t>
  </si>
  <si>
    <t>下期日期</t>
  </si>
  <si>
    <t>2026-07-07</t>
  </si>
  <si>
    <t>来宾参与</t>
  </si>
  <si>
    <t>【来宾介绍】 【即兴演讲】 【话题分词】
无需经验，欢迎第一次参加</t>
  </si>
  <si>
    <t>计算区 · 接龙解析、统一状态与验证</t>
  </si>
  <si>
    <t>时间原文</t>
  </si>
  <si>
    <t>会议字段</t>
  </si>
  <si>
    <t>值</t>
  </si>
  <si>
    <t>支持标签</t>
  </si>
  <si>
    <t>最后一个真实值</t>
  </si>
  <si>
    <t>角色键</t>
  </si>
  <si>
    <t>relay-officer-open</t>
  </si>
  <si>
    <t>事务官开场</t>
  </si>
  <si>
    <t>relay-president</t>
  </si>
  <si>
    <t>主席致辞</t>
  </si>
  <si>
    <t>relay-host</t>
  </si>
  <si>
    <t>总主持</t>
  </si>
  <si>
    <t>relay-guests</t>
  </si>
  <si>
    <t>relay-timer-declare</t>
  </si>
  <si>
    <t>时间官</t>
  </si>
  <si>
    <t>relay-grammar-declare</t>
  </si>
  <si>
    <t>语法官</t>
  </si>
  <si>
    <t>日期提示</t>
  </si>
  <si>
    <t>relay-ah-declare</t>
  </si>
  <si>
    <t>哼哈官</t>
  </si>
  <si>
    <t>解析角色数</t>
  </si>
  <si>
    <t>relay-impromptu</t>
  </si>
  <si>
    <t>15 / 2min/人</t>
  </si>
  <si>
    <t>即兴主持</t>
  </si>
  <si>
    <t>生成项目数</t>
  </si>
  <si>
    <t>relay-speech-1</t>
  </si>
  <si>
    <t>5-7</t>
  </si>
  <si>
    <t>缺失负责人</t>
  </si>
  <si>
    <t>relay-speech-2</t>
  </si>
  <si>
    <t>排程错误</t>
  </si>
  <si>
    <t>relay-speech-3</t>
  </si>
  <si>
    <t>备稿演讲3</t>
  </si>
  <si>
    <t>预计超时分钟</t>
  </si>
  <si>
    <t>relay-break</t>
  </si>
  <si>
    <t>拍照侠</t>
  </si>
  <si>
    <t>提问官</t>
  </si>
  <si>
    <t>relay-impromptu-eval</t>
  </si>
  <si>
    <t>relay-eval-1</t>
  </si>
  <si>
    <t>relay-eval-2</t>
  </si>
  <si>
    <t>relay-eval-3</t>
  </si>
  <si>
    <t>备稿点评3</t>
  </si>
  <si>
    <t>relay-grammar-report</t>
  </si>
  <si>
    <t>relay-ah-report</t>
  </si>
  <si>
    <t>relay-timer-report</t>
  </si>
  <si>
    <t>relay-general-eval</t>
  </si>
  <si>
    <t>relay-award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</si>
</sst>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hh:mm"/>
  </numFmts>
  <fonts count="21">
    <font>
      <sz val="11"/>
      <name val="Carlito"/>
    </font>
    <font>
      <b/>
      <sz val="10"/>
      <color rgb="FFFFFFFF"/>
      <name val="Microsoft YaHei"/>
      <family val="2"/>
      <charset val="134"/>
    </font>
    <font>
      <sz val="9"/>
      <color rgb="FF16232E"/>
      <name val="Microsoft YaHei"/>
      <family val="2"/>
      <charset val="134"/>
    </font>
    <font>
      <sz val="9"/>
      <color rgb="FF16232E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9"/>
      <color rgb="FF54646F"/>
      <name val="Microsoft YaHei"/>
      <family val="2"/>
      <charset val="134"/>
    </font>
    <font>
      <b/>
      <sz val="13"/>
      <color rgb="FFFFFFFF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10"/>
      <color rgb="FF16232E"/>
      <name val="Microsoft YaHei"/>
      <family val="2"/>
      <charset val="134"/>
    </font>
    <font>
      <b/>
      <sz val="18"/>
      <color rgb="FFFFFFFF"/>
      <name val="Microsoft YaHei"/>
      <family val="2"/>
      <charset val="134"/>
    </font>
    <font>
      <sz val="1"/>
      <color rgb="FFFFFFFF"/>
      <name val="Microsoft YaHei"/>
      <family val="2"/>
      <charset val="134"/>
    </font>
    <font>
      <b/>
      <sz val="10"/>
      <color rgb="FFB7791F"/>
      <name val="Microsoft YaHei"/>
      <family val="2"/>
      <charset val="134"/>
    </font>
    <font>
      <b/>
      <sz val="15"/>
      <color rgb="FFFFFFFF"/>
      <name val="Microsoft YaHei"/>
      <family val="2"/>
      <charset val="134"/>
    </font>
    <font>
      <sz val="9"/>
      <color rgb="FF54646F"/>
      <name val="Microsoft YaHei"/>
      <family val="2"/>
      <charset val="134"/>
    </font>
    <font>
      <b/>
      <sz val="14"/>
      <color rgb="FFFFFFFF"/>
      <name val="Microsoft YaHei"/>
      <family val="2"/>
      <charset val="134"/>
    </font>
    <font>
      <b/>
      <sz val="8"/>
      <color rgb="FF54646F"/>
      <name val="Microsoft YaHei"/>
      <family val="2"/>
      <charset val="134"/>
    </font>
    <font>
      <b/>
      <sz val="8"/>
      <color rgb="FFFFFFFF"/>
      <name val="Microsoft YaHei"/>
      <family val="2"/>
      <charset val="134"/>
    </font>
    <font>
      <sz val="8"/>
      <color rgb="FF16232E"/>
      <name val="Microsoft YaHei"/>
      <family val="2"/>
      <charset val="134"/>
    </font>
    <font>
      <b/>
      <sz val="8"/>
      <color rgb="FF00334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rgb="FF004165"/>
      </patternFill>
    </fill>
    <fill>
      <patternFill patternType="solid">
        <fgColor rgb="FFF6F8FA"/>
      </patternFill>
    </fill>
    <fill>
      <patternFill patternType="solid">
        <fgColor rgb="FF772432"/>
      </patternFill>
    </fill>
    <fill>
      <patternFill patternType="solid">
        <fgColor rgb="FF00334F"/>
      </patternFill>
    </fill>
    <fill>
      <patternFill patternType="solid">
        <fgColor rgb="FFFFF8E8"/>
      </patternFill>
    </fill>
    <fill>
      <patternFill patternType="solid">
        <fgColor rgb="FFEEF4F7"/>
      </patternFill>
    </fill>
    <fill>
      <patternFill patternType="solid">
        <fgColor rgb="FFFBF3DE"/>
      </patternFill>
    </fill>
    <fill>
      <patternFill patternType="solid">
        <fgColor rgb="FFF0F2F3"/>
      </patternFill>
    </fill>
    <fill>
      <patternFill patternType="solid">
        <fgColor rgb="FFEAF1F5"/>
      </patternFill>
    </fill>
    <fill>
      <patternFill patternType="solid">
        <fgColor rgb="FFFFFFFF"/>
      </patternFill>
    </fill>
  </fills>
  <borders count="41">
    <border>
      <left/>
      <right/>
      <top/>
      <bottom/>
      <diagonal/>
    </border>
    <border>
      <left style="thin">
        <color rgb="FFDFE5EA"/>
      </left>
      <right/>
      <top style="thin">
        <color rgb="FFDFE5EA"/>
      </top>
      <bottom/>
      <diagonal/>
    </border>
    <border>
      <left/>
      <right style="thin">
        <color rgb="FFDFE5EA"/>
      </right>
      <top style="thin">
        <color rgb="FFDFE5EA"/>
      </top>
      <bottom/>
      <diagonal/>
    </border>
    <border>
      <left style="thin">
        <color rgb="FFDFE5EA"/>
      </left>
      <right/>
      <top/>
      <bottom/>
      <diagonal/>
    </border>
    <border>
      <left/>
      <right style="thin">
        <color rgb="FFDFE5EA"/>
      </right>
      <top/>
      <bottom/>
      <diagonal/>
    </border>
    <border>
      <left style="thin">
        <color rgb="FFDFE5EA"/>
      </left>
      <right/>
      <top/>
      <bottom style="thin">
        <color rgb="FFDFE5EA"/>
      </bottom>
      <diagonal/>
    </border>
    <border>
      <left/>
      <right style="thin">
        <color rgb="FFDFE5EA"/>
      </right>
      <top/>
      <bottom style="thin">
        <color rgb="FFDFE5EA"/>
      </bottom>
      <diagonal/>
    </border>
    <border>
      <left style="thin">
        <color rgb="FFDFE5EA"/>
      </left>
      <right style="thin">
        <color rgb="FFDFE5EA"/>
      </right>
      <top/>
      <bottom style="thin">
        <color rgb="FFDFE5EA"/>
      </bottom>
      <diagonal/>
    </border>
    <border>
      <left/>
      <right style="thin">
        <color rgb="FFDFE5EA"/>
      </right>
      <top style="thin">
        <color rgb="FFDFE5EA"/>
      </top>
      <bottom style="thin">
        <color rgb="FFDFE5EA"/>
      </bottom>
      <diagonal/>
    </border>
    <border>
      <left style="thin">
        <color rgb="FFDFE5EA"/>
      </left>
      <right style="thin">
        <color rgb="FFDFE5EA"/>
      </right>
      <top style="thin">
        <color rgb="FFDFE5EA"/>
      </top>
      <bottom style="thin">
        <color rgb="FFDFE5EA"/>
      </bottom>
      <diagonal/>
    </border>
    <border>
      <left style="thin">
        <color rgb="FFDFE5EA"/>
      </left>
      <right/>
      <top style="thin">
        <color rgb="FFDFE5EA"/>
      </top>
      <bottom style="thin">
        <color rgb="FFDFE5EA"/>
      </bottom>
      <diagonal/>
    </border>
    <border>
      <left style="thin">
        <color rgb="FFDFE5EA"/>
      </left>
      <right style="thin">
        <color rgb="FFDFE5EA"/>
      </right>
      <top style="thin">
        <color rgb="FFDFE5EA"/>
      </top>
      <bottom/>
      <diagonal/>
    </border>
    <border>
      <left style="thin">
        <color rgb="FFC4CFD8"/>
      </left>
      <right/>
      <top style="thin">
        <color rgb="FFC4CFD8"/>
      </top>
      <bottom style="thin">
        <color rgb="FFC4CFD8"/>
      </bottom>
      <diagonal/>
    </border>
    <border>
      <left/>
      <right/>
      <top style="thin">
        <color rgb="FFC4CFD8"/>
      </top>
      <bottom style="thin">
        <color rgb="FFC4CFD8"/>
      </bottom>
      <diagonal/>
    </border>
    <border>
      <left/>
      <right style="thin">
        <color rgb="FFC4CFD8"/>
      </right>
      <top style="thin">
        <color rgb="FFC4CFD8"/>
      </top>
      <bottom style="thin">
        <color rgb="FFC4CFD8"/>
      </bottom>
      <diagonal/>
    </border>
    <border>
      <left/>
      <right/>
      <top style="thin">
        <color rgb="FFDFE5EA"/>
      </top>
      <bottom style="thin">
        <color rgb="FFDFE5EA"/>
      </bottom>
      <diagonal/>
    </border>
    <border>
      <left style="thin">
        <color rgb="FFC4CFD8"/>
      </left>
      <right/>
      <top style="thin">
        <color rgb="FFC4CFD8"/>
      </top>
      <bottom/>
      <diagonal/>
    </border>
    <border>
      <left/>
      <right/>
      <top style="thin">
        <color rgb="FFC4CFD8"/>
      </top>
      <bottom/>
      <diagonal/>
    </border>
    <border>
      <left/>
      <right style="thin">
        <color rgb="FFC4CFD8"/>
      </right>
      <top style="thin">
        <color rgb="FFC4CFD8"/>
      </top>
      <bottom/>
      <diagonal/>
    </border>
    <border>
      <left style="thin">
        <color rgb="FFC4CFD8"/>
      </left>
      <right/>
      <top/>
      <bottom style="thin">
        <color rgb="FFC4CFD8"/>
      </bottom>
      <diagonal/>
    </border>
    <border>
      <left/>
      <right/>
      <top/>
      <bottom style="thin">
        <color rgb="FFC4CFD8"/>
      </bottom>
      <diagonal/>
    </border>
    <border>
      <left/>
      <right style="thin">
        <color rgb="FFC4CFD8"/>
      </right>
      <top/>
      <bottom style="thin">
        <color rgb="FFC4CFD8"/>
      </bottom>
      <diagonal/>
    </border>
    <border>
      <left style="thin">
        <color rgb="FFC4CFD8"/>
      </left>
      <right/>
      <top/>
      <bottom/>
      <diagonal/>
    </border>
    <border>
      <left/>
      <right style="thin">
        <color rgb="FFC4CFD8"/>
      </right>
      <top/>
      <bottom/>
      <diagonal/>
    </border>
    <border>
      <left/>
      <right/>
      <top style="thin">
        <color rgb="FFDFE5EA"/>
      </top>
      <bottom/>
      <diagonal/>
    </border>
    <border>
      <left/>
      <right/>
      <top/>
      <bottom style="thin">
        <color rgb="FFDFE5EA"/>
      </bottom>
      <diagonal/>
    </border>
    <border>
      <left style="thin">
        <color rgb="FFD6B866"/>
      </left>
      <right/>
      <top style="thin">
        <color rgb="FFD6B866"/>
      </top>
      <bottom/>
      <diagonal/>
    </border>
    <border>
      <left/>
      <right/>
      <top style="thin">
        <color rgb="FFD6B866"/>
      </top>
      <bottom/>
      <diagonal/>
    </border>
    <border>
      <left/>
      <right style="thin">
        <color rgb="FFD6B866"/>
      </right>
      <top style="thin">
        <color rgb="FFD6B866"/>
      </top>
      <bottom/>
      <diagonal/>
    </border>
    <border>
      <left style="thin">
        <color rgb="FFD6B866"/>
      </left>
      <right/>
      <top/>
      <bottom/>
      <diagonal/>
    </border>
    <border>
      <left/>
      <right style="thin">
        <color rgb="FFD6B866"/>
      </right>
      <top/>
      <bottom/>
      <diagonal/>
    </border>
    <border>
      <left style="thin">
        <color rgb="FFD6B866"/>
      </left>
      <right/>
      <top/>
      <bottom style="thin">
        <color rgb="FFD6B866"/>
      </bottom>
      <diagonal/>
    </border>
    <border>
      <left/>
      <right/>
      <top/>
      <bottom style="thin">
        <color rgb="FFD6B866"/>
      </bottom>
      <diagonal/>
    </border>
    <border>
      <left/>
      <right style="thin">
        <color rgb="FFD6B866"/>
      </right>
      <top/>
      <bottom style="thin">
        <color rgb="FFD6B866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772432"/>
      </left>
      <right style="thin">
        <color rgb="FF9A5260"/>
      </right>
      <top/>
      <bottom/>
      <diagonal/>
    </border>
    <border>
      <left style="thin">
        <color rgb="FF9A5260"/>
      </left>
      <right style="thin">
        <color rgb="FF9A5260"/>
      </right>
      <top/>
      <bottom/>
      <diagonal/>
    </border>
    <border>
      <left style="thin">
        <color rgb="FF9A5260"/>
      </left>
      <right style="thin">
        <color rgb="FF772432"/>
      </right>
      <top/>
      <bottom/>
      <diagonal/>
    </border>
  </borders>
  <cellStyleXfs count="2">
    <xf numFmtId="0" fontId="0" fillId="0" borderId="0"/>
    <xf numFmtId="0" fontId="19" fillId="0" borderId="0"/>
  </cellStyleXfs>
  <cellXfs count="169">
    <xf numFmtId="0" fontId="0" fillId="0" borderId="0" xfId="0"/>
    <xf numFmtId="0" fontId="1" fillId="2" borderId="0" xfId="1" applyFont="1" applyFill="1"/>
    <xf numFmtId="0" fontId="1" fillId="2" borderId="0" xfId="1" applyFont="1" applyFill="1" applyAlignment="1">
      <alignment vertical="center" wrapText="1"/>
    </xf>
    <xf numFmtId="0" fontId="2" fillId="0" borderId="0" xfId="1" applyFont="1" applyAlignment="1">
      <alignment vertical="center" wrapText="1"/>
    </xf>
    <xf numFmtId="1" fontId="2" fillId="0" borderId="0" xfId="1" applyNumberFormat="1" applyFont="1" applyAlignment="1">
      <alignment vertical="center" wrapText="1"/>
    </xf>
    <xf numFmtId="0" fontId="3" fillId="0" borderId="0" xfId="1" applyFont="1" applyAlignment="1">
      <alignment vertical="center" wrapText="1"/>
    </xf>
    <xf numFmtId="0" fontId="3" fillId="3" borderId="1" xfId="1" applyFont="1" applyFill="1" applyBorder="1" applyAlignment="1">
      <alignment vertical="center" wrapText="1"/>
    </xf>
    <xf numFmtId="0" fontId="3" fillId="3" borderId="2" xfId="1" applyFont="1" applyFill="1" applyBorder="1" applyAlignment="1">
      <alignment vertical="center" wrapText="1"/>
    </xf>
    <xf numFmtId="0" fontId="3" fillId="3" borderId="3" xfId="1" applyFont="1" applyFill="1" applyBorder="1" applyAlignment="1">
      <alignment vertical="center" wrapText="1"/>
    </xf>
    <xf numFmtId="0" fontId="3" fillId="3" borderId="4" xfId="1" applyFont="1" applyFill="1" applyBorder="1" applyAlignment="1">
      <alignment vertical="center" wrapText="1"/>
    </xf>
    <xf numFmtId="0" fontId="3" fillId="3" borderId="5" xfId="1" applyFont="1" applyFill="1" applyBorder="1" applyAlignment="1">
      <alignment vertical="center" wrapText="1"/>
    </xf>
    <xf numFmtId="0" fontId="3" fillId="3" borderId="6" xfId="1" applyFont="1" applyFill="1" applyBorder="1" applyAlignment="1">
      <alignment vertical="center" wrapText="1"/>
    </xf>
    <xf numFmtId="0" fontId="5" fillId="0" borderId="0" xfId="1" applyFont="1" applyAlignment="1">
      <alignment horizontal="center"/>
    </xf>
    <xf numFmtId="0" fontId="7" fillId="2" borderId="0" xfId="1" applyFont="1" applyFill="1" applyAlignment="1">
      <alignment vertical="center" wrapText="1"/>
    </xf>
    <xf numFmtId="0" fontId="8" fillId="0" borderId="0" xfId="1" applyFont="1"/>
    <xf numFmtId="0" fontId="5" fillId="0" borderId="0" xfId="1" applyFont="1" applyAlignment="1">
      <alignment vertical="center"/>
    </xf>
    <xf numFmtId="0" fontId="10" fillId="0" borderId="0" xfId="1" applyFont="1"/>
    <xf numFmtId="0" fontId="8" fillId="6" borderId="16" xfId="1" applyFont="1" applyFill="1" applyBorder="1" applyAlignment="1">
      <alignment horizontal="left" vertical="center" wrapText="1"/>
    </xf>
    <xf numFmtId="0" fontId="8" fillId="6" borderId="17" xfId="1" applyFont="1" applyFill="1" applyBorder="1" applyAlignment="1">
      <alignment horizontal="left" vertical="center" wrapText="1"/>
    </xf>
    <xf numFmtId="0" fontId="8" fillId="6" borderId="18" xfId="1" applyFont="1" applyFill="1" applyBorder="1" applyAlignment="1">
      <alignment horizontal="left" vertical="center" wrapText="1"/>
    </xf>
    <xf numFmtId="0" fontId="8" fillId="6" borderId="19" xfId="1" applyFont="1" applyFill="1" applyBorder="1" applyAlignment="1">
      <alignment horizontal="left" vertical="center" wrapText="1"/>
    </xf>
    <xf numFmtId="0" fontId="8" fillId="6" borderId="20" xfId="1" applyFont="1" applyFill="1" applyBorder="1" applyAlignment="1">
      <alignment horizontal="left" vertical="center" wrapText="1"/>
    </xf>
    <xf numFmtId="0" fontId="8" fillId="6" borderId="21" xfId="1" applyFont="1" applyFill="1" applyBorder="1" applyAlignment="1">
      <alignment horizontal="left" vertical="center" wrapText="1"/>
    </xf>
    <xf numFmtId="0" fontId="8" fillId="6" borderId="22" xfId="1" applyFont="1" applyFill="1" applyBorder="1" applyAlignment="1">
      <alignment horizontal="left" vertical="center" wrapText="1"/>
    </xf>
    <xf numFmtId="0" fontId="8" fillId="6" borderId="0" xfId="1" applyFont="1" applyFill="1" applyAlignment="1">
      <alignment horizontal="left" vertical="center" wrapText="1"/>
    </xf>
    <xf numFmtId="0" fontId="8" fillId="6" borderId="23" xfId="1" applyFont="1" applyFill="1" applyBorder="1" applyAlignment="1">
      <alignment horizontal="left" vertical="center" wrapText="1"/>
    </xf>
    <xf numFmtId="0" fontId="13" fillId="3" borderId="0" xfId="1" applyFont="1" applyFill="1" applyAlignment="1">
      <alignment vertical="center" wrapText="1"/>
    </xf>
    <xf numFmtId="177" fontId="3" fillId="0" borderId="0" xfId="1" applyNumberFormat="1" applyFont="1" applyAlignment="1">
      <alignment vertical="center" wrapText="1"/>
    </xf>
    <xf numFmtId="177" fontId="13" fillId="3" borderId="0" xfId="1" applyNumberFormat="1" applyFont="1" applyFill="1" applyAlignment="1">
      <alignment vertical="center" wrapText="1"/>
    </xf>
    <xf numFmtId="0" fontId="9" fillId="5" borderId="0" xfId="1" applyFont="1" applyFill="1" applyAlignment="1">
      <alignment horizontal="left" vertical="center"/>
    </xf>
    <xf numFmtId="0" fontId="8" fillId="6" borderId="12" xfId="1" applyFont="1" applyFill="1" applyBorder="1" applyAlignment="1">
      <alignment horizontal="center" vertical="center"/>
    </xf>
    <xf numFmtId="0" fontId="8" fillId="6" borderId="13" xfId="1" applyFont="1" applyFill="1" applyBorder="1" applyAlignment="1">
      <alignment horizontal="center" vertical="center"/>
    </xf>
    <xf numFmtId="0" fontId="8" fillId="6" borderId="14" xfId="1" applyFont="1" applyFill="1" applyBorder="1" applyAlignment="1">
      <alignment horizontal="center" vertical="center"/>
    </xf>
    <xf numFmtId="0" fontId="3" fillId="7" borderId="10" xfId="1" applyFont="1" applyFill="1" applyBorder="1" applyAlignment="1">
      <alignment vertical="center" wrapText="1"/>
    </xf>
    <xf numFmtId="0" fontId="3" fillId="7" borderId="15" xfId="1" applyFont="1" applyFill="1" applyBorder="1" applyAlignment="1">
      <alignment vertical="center" wrapText="1"/>
    </xf>
    <xf numFmtId="0" fontId="3" fillId="7" borderId="8" xfId="1" applyFont="1" applyFill="1" applyBorder="1" applyAlignment="1">
      <alignment vertical="center" wrapText="1"/>
    </xf>
    <xf numFmtId="0" fontId="4" fillId="4" borderId="0" xfId="1" applyFont="1" applyFill="1" applyAlignment="1">
      <alignment horizontal="left" vertical="center"/>
    </xf>
    <xf numFmtId="0" fontId="8" fillId="6" borderId="12" xfId="1" applyFont="1" applyFill="1" applyBorder="1" applyAlignment="1">
      <alignment horizontal="left" vertical="center"/>
    </xf>
    <xf numFmtId="0" fontId="8" fillId="6" borderId="13" xfId="1" applyFont="1" applyFill="1" applyBorder="1" applyAlignment="1">
      <alignment horizontal="left" vertical="center"/>
    </xf>
    <xf numFmtId="0" fontId="8" fillId="6" borderId="14" xfId="1" applyFont="1" applyFill="1" applyBorder="1" applyAlignment="1">
      <alignment horizontal="left" vertical="center"/>
    </xf>
    <xf numFmtId="176" fontId="8" fillId="6" borderId="12" xfId="1" applyNumberFormat="1" applyFont="1" applyFill="1" applyBorder="1" applyAlignment="1">
      <alignment horizontal="center" vertical="center"/>
    </xf>
    <xf numFmtId="177" fontId="8" fillId="6" borderId="12" xfId="1" applyNumberFormat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vertical="center" wrapText="1"/>
    </xf>
    <xf numFmtId="0" fontId="3" fillId="3" borderId="15" xfId="1" applyFont="1" applyFill="1" applyBorder="1" applyAlignment="1">
      <alignment vertical="center" wrapText="1"/>
    </xf>
    <xf numFmtId="0" fontId="3" fillId="3" borderId="8" xfId="1" applyFont="1" applyFill="1" applyBorder="1" applyAlignment="1">
      <alignment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17" xfId="1" applyFont="1" applyFill="1" applyBorder="1" applyAlignment="1">
      <alignment horizontal="left" vertical="center" wrapText="1"/>
    </xf>
    <xf numFmtId="0" fontId="8" fillId="6" borderId="18" xfId="1" applyFont="1" applyFill="1" applyBorder="1" applyAlignment="1">
      <alignment horizontal="left" vertical="center" wrapText="1"/>
    </xf>
    <xf numFmtId="0" fontId="8" fillId="6" borderId="19" xfId="1" applyFont="1" applyFill="1" applyBorder="1" applyAlignment="1">
      <alignment horizontal="left" vertical="center" wrapText="1"/>
    </xf>
    <xf numFmtId="0" fontId="8" fillId="6" borderId="20" xfId="1" applyFont="1" applyFill="1" applyBorder="1" applyAlignment="1">
      <alignment horizontal="left" vertical="center" wrapText="1"/>
    </xf>
    <xf numFmtId="0" fontId="8" fillId="6" borderId="21" xfId="1" applyFont="1" applyFill="1" applyBorder="1" applyAlignment="1">
      <alignment horizontal="left" vertical="center" wrapText="1"/>
    </xf>
    <xf numFmtId="0" fontId="4" fillId="2" borderId="0" xfId="1" applyFont="1" applyFill="1" applyAlignment="1">
      <alignment horizontal="left" vertical="center"/>
    </xf>
    <xf numFmtId="0" fontId="8" fillId="6" borderId="16" xfId="1" applyFont="1" applyFill="1" applyBorder="1" applyAlignment="1">
      <alignment horizontal="left" vertical="top" wrapText="1"/>
    </xf>
    <xf numFmtId="0" fontId="8" fillId="6" borderId="17" xfId="1" applyFont="1" applyFill="1" applyBorder="1" applyAlignment="1">
      <alignment horizontal="left" vertical="top" wrapText="1"/>
    </xf>
    <xf numFmtId="0" fontId="8" fillId="6" borderId="18" xfId="1" applyFont="1" applyFill="1" applyBorder="1" applyAlignment="1">
      <alignment horizontal="left" vertical="top" wrapText="1"/>
    </xf>
    <xf numFmtId="0" fontId="8" fillId="6" borderId="22" xfId="1" applyFont="1" applyFill="1" applyBorder="1" applyAlignment="1">
      <alignment horizontal="left" vertical="top" wrapText="1"/>
    </xf>
    <xf numFmtId="0" fontId="8" fillId="6" borderId="0" xfId="1" applyFont="1" applyFill="1" applyAlignment="1">
      <alignment horizontal="left" vertical="top" wrapText="1"/>
    </xf>
    <xf numFmtId="0" fontId="8" fillId="6" borderId="23" xfId="1" applyFont="1" applyFill="1" applyBorder="1" applyAlignment="1">
      <alignment horizontal="left" vertical="top" wrapText="1"/>
    </xf>
    <xf numFmtId="0" fontId="8" fillId="6" borderId="19" xfId="1" applyFont="1" applyFill="1" applyBorder="1" applyAlignment="1">
      <alignment horizontal="left" vertical="top" wrapText="1"/>
    </xf>
    <xf numFmtId="0" fontId="8" fillId="6" borderId="20" xfId="1" applyFont="1" applyFill="1" applyBorder="1" applyAlignment="1">
      <alignment horizontal="left" vertical="top" wrapText="1"/>
    </xf>
    <xf numFmtId="0" fontId="8" fillId="6" borderId="21" xfId="1" applyFont="1" applyFill="1" applyBorder="1" applyAlignment="1">
      <alignment horizontal="left" vertical="top" wrapText="1"/>
    </xf>
    <xf numFmtId="0" fontId="3" fillId="3" borderId="1" xfId="1" applyFont="1" applyFill="1" applyBorder="1" applyAlignment="1">
      <alignment vertical="center" wrapText="1"/>
    </xf>
    <xf numFmtId="0" fontId="3" fillId="3" borderId="24" xfId="1" applyFont="1" applyFill="1" applyBorder="1" applyAlignment="1">
      <alignment vertical="center" wrapText="1"/>
    </xf>
    <xf numFmtId="0" fontId="3" fillId="3" borderId="2" xfId="1" applyFont="1" applyFill="1" applyBorder="1" applyAlignment="1">
      <alignment vertical="center" wrapText="1"/>
    </xf>
    <xf numFmtId="0" fontId="3" fillId="3" borderId="5" xfId="1" applyFont="1" applyFill="1" applyBorder="1" applyAlignment="1">
      <alignment vertical="center" wrapText="1"/>
    </xf>
    <xf numFmtId="0" fontId="3" fillId="3" borderId="25" xfId="1" applyFont="1" applyFill="1" applyBorder="1" applyAlignment="1">
      <alignment vertical="center" wrapText="1"/>
    </xf>
    <xf numFmtId="0" fontId="3" fillId="3" borderId="6" xfId="1" applyFont="1" applyFill="1" applyBorder="1" applyAlignment="1">
      <alignment vertical="center" wrapText="1"/>
    </xf>
    <xf numFmtId="0" fontId="3" fillId="8" borderId="10" xfId="1" applyFont="1" applyFill="1" applyBorder="1" applyAlignment="1">
      <alignment vertical="center" wrapText="1"/>
    </xf>
    <xf numFmtId="0" fontId="3" fillId="8" borderId="15" xfId="1" applyFont="1" applyFill="1" applyBorder="1" applyAlignment="1">
      <alignment vertical="center" wrapText="1"/>
    </xf>
    <xf numFmtId="0" fontId="3" fillId="8" borderId="8" xfId="1" applyFont="1" applyFill="1" applyBorder="1" applyAlignment="1">
      <alignment vertical="center" wrapText="1"/>
    </xf>
    <xf numFmtId="0" fontId="3" fillId="9" borderId="10" xfId="1" applyFont="1" applyFill="1" applyBorder="1" applyAlignment="1">
      <alignment vertical="center" wrapText="1"/>
    </xf>
    <xf numFmtId="0" fontId="3" fillId="9" borderId="15" xfId="1" applyFont="1" applyFill="1" applyBorder="1" applyAlignment="1">
      <alignment vertical="center" wrapText="1"/>
    </xf>
    <xf numFmtId="0" fontId="3" fillId="9" borderId="8" xfId="1" applyFont="1" applyFill="1" applyBorder="1" applyAlignment="1">
      <alignment vertical="center" wrapText="1"/>
    </xf>
    <xf numFmtId="0" fontId="11" fillId="8" borderId="26" xfId="1" applyFont="1" applyFill="1" applyBorder="1" applyAlignment="1">
      <alignment vertical="center" wrapText="1"/>
    </xf>
    <xf numFmtId="0" fontId="11" fillId="8" borderId="27" xfId="1" applyFont="1" applyFill="1" applyBorder="1" applyAlignment="1">
      <alignment vertical="center" wrapText="1"/>
    </xf>
    <xf numFmtId="0" fontId="11" fillId="8" borderId="28" xfId="1" applyFont="1" applyFill="1" applyBorder="1" applyAlignment="1">
      <alignment vertical="center" wrapText="1"/>
    </xf>
    <xf numFmtId="0" fontId="11" fillId="8" borderId="29" xfId="1" applyFont="1" applyFill="1" applyBorder="1" applyAlignment="1">
      <alignment vertical="center" wrapText="1"/>
    </xf>
    <xf numFmtId="0" fontId="11" fillId="8" borderId="0" xfId="1" applyFont="1" applyFill="1" applyAlignment="1">
      <alignment vertical="center" wrapText="1"/>
    </xf>
    <xf numFmtId="0" fontId="11" fillId="8" borderId="30" xfId="1" applyFont="1" applyFill="1" applyBorder="1" applyAlignment="1">
      <alignment vertical="center" wrapText="1"/>
    </xf>
    <xf numFmtId="0" fontId="11" fillId="8" borderId="31" xfId="1" applyFont="1" applyFill="1" applyBorder="1" applyAlignment="1">
      <alignment vertical="center" wrapText="1"/>
    </xf>
    <xf numFmtId="0" fontId="11" fillId="8" borderId="32" xfId="1" applyFont="1" applyFill="1" applyBorder="1" applyAlignment="1">
      <alignment vertical="center" wrapText="1"/>
    </xf>
    <xf numFmtId="0" fontId="11" fillId="8" borderId="33" xfId="1" applyFont="1" applyFill="1" applyBorder="1" applyAlignment="1">
      <alignment vertical="center" wrapText="1"/>
    </xf>
    <xf numFmtId="0" fontId="12" fillId="4" borderId="0" xfId="1" applyFont="1" applyFill="1" applyAlignment="1">
      <alignment horizontal="left" vertical="center"/>
    </xf>
    <xf numFmtId="0" fontId="7" fillId="5" borderId="0" xfId="1" applyFont="1" applyFill="1" applyAlignment="1">
      <alignment horizontal="center" vertical="center"/>
    </xf>
    <xf numFmtId="0" fontId="4" fillId="4" borderId="0" xfId="1" applyFont="1" applyFill="1" applyAlignment="1">
      <alignment vertical="center"/>
    </xf>
    <xf numFmtId="0" fontId="3" fillId="5" borderId="34" xfId="1" applyFont="1" applyFill="1" applyBorder="1" applyProtection="1"/>
    <xf numFmtId="0" fontId="3" fillId="5" borderId="35" xfId="1" applyFont="1" applyFill="1" applyBorder="1" applyProtection="1"/>
    <xf numFmtId="0" fontId="12" fillId="5" borderId="0" xfId="1" applyFont="1" applyFill="1" applyAlignment="1" applyProtection="1">
      <alignment horizontal="center" vertical="center"/>
    </xf>
    <xf numFmtId="0" fontId="0" fillId="0" borderId="0" xfId="0" applyProtection="1"/>
    <xf numFmtId="0" fontId="3" fillId="5" borderId="36" xfId="1" applyFont="1" applyFill="1" applyBorder="1" applyProtection="1"/>
    <xf numFmtId="0" fontId="3" fillId="5" borderId="37" xfId="1" applyFont="1" applyFill="1" applyBorder="1" applyProtection="1"/>
    <xf numFmtId="0" fontId="14" fillId="2" borderId="0" xfId="1" applyFont="1" applyFill="1" applyAlignment="1" applyProtection="1">
      <alignment horizontal="center" vertical="center"/>
    </xf>
    <xf numFmtId="0" fontId="3" fillId="10" borderId="10" xfId="1" applyFont="1" applyFill="1" applyBorder="1" applyAlignment="1" applyProtection="1">
      <alignment vertical="center" wrapText="1"/>
    </xf>
    <xf numFmtId="0" fontId="3" fillId="10" borderId="15" xfId="1" applyFont="1" applyFill="1" applyBorder="1" applyAlignment="1" applyProtection="1">
      <alignment vertical="center" wrapText="1"/>
    </xf>
    <xf numFmtId="0" fontId="3" fillId="10" borderId="8" xfId="1" applyFont="1" applyFill="1" applyBorder="1" applyAlignment="1" applyProtection="1">
      <alignment vertical="center" wrapText="1"/>
    </xf>
    <xf numFmtId="0" fontId="3" fillId="3" borderId="0" xfId="1" applyFont="1" applyFill="1" applyAlignment="1" applyProtection="1">
      <alignment horizontal="center" vertical="center" wrapText="1"/>
    </xf>
    <xf numFmtId="0" fontId="1" fillId="4" borderId="0" xfId="1" applyFont="1" applyFill="1" applyAlignment="1" applyProtection="1">
      <alignment horizontal="center" vertical="center"/>
    </xf>
    <xf numFmtId="0" fontId="1" fillId="4" borderId="0" xfId="1" applyFont="1" applyFill="1" applyAlignment="1" applyProtection="1">
      <alignment vertical="center"/>
    </xf>
    <xf numFmtId="0" fontId="7" fillId="5" borderId="0" xfId="1" applyFont="1" applyFill="1" applyAlignment="1" applyProtection="1">
      <alignment horizontal="center" vertical="center"/>
    </xf>
    <xf numFmtId="0" fontId="7" fillId="5" borderId="0" xfId="1" applyFont="1" applyFill="1" applyAlignment="1" applyProtection="1">
      <alignment horizontal="center" vertical="center"/>
    </xf>
    <xf numFmtId="0" fontId="3" fillId="11" borderId="1" xfId="1" applyFont="1" applyFill="1" applyBorder="1" applyAlignment="1" applyProtection="1">
      <alignment vertical="center" wrapText="1"/>
    </xf>
    <xf numFmtId="0" fontId="3" fillId="11" borderId="24" xfId="1" applyFont="1" applyFill="1" applyBorder="1" applyAlignment="1" applyProtection="1">
      <alignment vertical="center" wrapText="1"/>
    </xf>
    <xf numFmtId="0" fontId="3" fillId="11" borderId="2" xfId="1" applyFont="1" applyFill="1" applyBorder="1" applyAlignment="1" applyProtection="1">
      <alignment vertical="center" wrapText="1"/>
    </xf>
    <xf numFmtId="0" fontId="16" fillId="4" borderId="38" xfId="1" applyFont="1" applyFill="1" applyBorder="1" applyAlignment="1" applyProtection="1">
      <alignment horizontal="center" vertical="center" wrapText="1"/>
    </xf>
    <xf numFmtId="0" fontId="16" fillId="4" borderId="39" xfId="1" applyFont="1" applyFill="1" applyBorder="1" applyAlignment="1" applyProtection="1">
      <alignment horizontal="center" vertical="center" wrapText="1"/>
    </xf>
    <xf numFmtId="0" fontId="16" fillId="4" borderId="40" xfId="1" applyFont="1" applyFill="1" applyBorder="1" applyAlignment="1" applyProtection="1">
      <alignment horizontal="center" vertical="center" wrapText="1"/>
    </xf>
    <xf numFmtId="177" fontId="18" fillId="11" borderId="9" xfId="1" applyNumberFormat="1" applyFont="1" applyFill="1" applyBorder="1" applyAlignment="1" applyProtection="1">
      <alignment horizontal="center" vertical="center" wrapText="1"/>
    </xf>
    <xf numFmtId="0" fontId="17" fillId="11" borderId="9" xfId="1" applyFont="1" applyFill="1" applyBorder="1" applyAlignment="1" applyProtection="1">
      <alignment vertical="center" wrapText="1"/>
    </xf>
    <xf numFmtId="0" fontId="17" fillId="11" borderId="9" xfId="1" applyFont="1" applyFill="1" applyBorder="1" applyAlignment="1" applyProtection="1">
      <alignment horizontal="center" vertical="center" wrapText="1"/>
    </xf>
    <xf numFmtId="0" fontId="17" fillId="11" borderId="9" xfId="1" applyFont="1" applyFill="1" applyBorder="1" applyAlignment="1" applyProtection="1">
      <alignment horizontal="center" vertical="center" wrapText="1"/>
    </xf>
    <xf numFmtId="0" fontId="3" fillId="11" borderId="3" xfId="1" applyFont="1" applyFill="1" applyBorder="1" applyAlignment="1" applyProtection="1">
      <alignment vertical="center" wrapText="1"/>
    </xf>
    <xf numFmtId="0" fontId="3" fillId="11" borderId="0" xfId="1" applyFont="1" applyFill="1" applyAlignment="1" applyProtection="1">
      <alignment vertical="center" wrapText="1"/>
    </xf>
    <xf numFmtId="0" fontId="3" fillId="11" borderId="4" xfId="1" applyFont="1" applyFill="1" applyBorder="1" applyAlignment="1" applyProtection="1">
      <alignment vertical="center" wrapText="1"/>
    </xf>
    <xf numFmtId="0" fontId="3" fillId="11" borderId="5" xfId="1" applyFont="1" applyFill="1" applyBorder="1" applyAlignment="1" applyProtection="1">
      <alignment vertical="center" wrapText="1"/>
    </xf>
    <xf numFmtId="0" fontId="3" fillId="11" borderId="25" xfId="1" applyFont="1" applyFill="1" applyBorder="1" applyAlignment="1" applyProtection="1">
      <alignment vertical="center" wrapText="1"/>
    </xf>
    <xf numFmtId="0" fontId="3" fillId="11" borderId="6" xfId="1" applyFont="1" applyFill="1" applyBorder="1" applyAlignment="1" applyProtection="1">
      <alignment vertical="center" wrapText="1"/>
    </xf>
    <xf numFmtId="0" fontId="1" fillId="2" borderId="0" xfId="1" applyFont="1" applyFill="1" applyAlignment="1" applyProtection="1">
      <alignment vertical="center"/>
    </xf>
    <xf numFmtId="0" fontId="3" fillId="0" borderId="0" xfId="1" applyFont="1" applyProtection="1"/>
    <xf numFmtId="0" fontId="15" fillId="0" borderId="0" xfId="1" applyFont="1" applyAlignment="1" applyProtection="1">
      <alignment horizontal="center"/>
    </xf>
    <xf numFmtId="0" fontId="3" fillId="7" borderId="1" xfId="1" applyFont="1" applyFill="1" applyBorder="1" applyAlignment="1" applyProtection="1">
      <alignment vertical="center" wrapText="1"/>
    </xf>
    <xf numFmtId="0" fontId="3" fillId="7" borderId="24" xfId="1" applyFont="1" applyFill="1" applyBorder="1" applyAlignment="1" applyProtection="1">
      <alignment vertical="center" wrapText="1"/>
    </xf>
    <xf numFmtId="0" fontId="3" fillId="7" borderId="2" xfId="1" applyFont="1" applyFill="1" applyBorder="1" applyAlignment="1" applyProtection="1">
      <alignment vertical="center" wrapText="1"/>
    </xf>
    <xf numFmtId="0" fontId="3" fillId="7" borderId="3" xfId="1" applyFont="1" applyFill="1" applyBorder="1" applyAlignment="1" applyProtection="1">
      <alignment vertical="center" wrapText="1"/>
    </xf>
    <xf numFmtId="0" fontId="3" fillId="7" borderId="0" xfId="1" applyFont="1" applyFill="1" applyAlignment="1" applyProtection="1">
      <alignment vertical="center" wrapText="1"/>
    </xf>
    <xf numFmtId="0" fontId="3" fillId="7" borderId="4" xfId="1" applyFont="1" applyFill="1" applyBorder="1" applyAlignment="1" applyProtection="1">
      <alignment vertical="center" wrapText="1"/>
    </xf>
    <xf numFmtId="0" fontId="3" fillId="7" borderId="5" xfId="1" applyFont="1" applyFill="1" applyBorder="1" applyAlignment="1" applyProtection="1">
      <alignment vertical="center" wrapText="1"/>
    </xf>
    <xf numFmtId="0" fontId="3" fillId="7" borderId="25" xfId="1" applyFont="1" applyFill="1" applyBorder="1" applyAlignment="1" applyProtection="1">
      <alignment vertical="center" wrapText="1"/>
    </xf>
    <xf numFmtId="0" fontId="3" fillId="7" borderId="6" xfId="1" applyFont="1" applyFill="1" applyBorder="1" applyAlignment="1" applyProtection="1">
      <alignment vertical="center" wrapText="1"/>
    </xf>
    <xf numFmtId="0" fontId="3" fillId="3" borderId="1" xfId="1" applyFont="1" applyFill="1" applyBorder="1" applyAlignment="1" applyProtection="1">
      <alignment vertical="center" wrapText="1"/>
    </xf>
    <xf numFmtId="0" fontId="3" fillId="3" borderId="24" xfId="1" applyFont="1" applyFill="1" applyBorder="1" applyAlignment="1" applyProtection="1">
      <alignment vertical="center" wrapText="1"/>
    </xf>
    <xf numFmtId="0" fontId="3" fillId="3" borderId="2" xfId="1" applyFont="1" applyFill="1" applyBorder="1" applyAlignment="1" applyProtection="1">
      <alignment vertical="center" wrapText="1"/>
    </xf>
    <xf numFmtId="0" fontId="3" fillId="11" borderId="1" xfId="1" applyFont="1" applyFill="1" applyBorder="1" applyProtection="1"/>
    <xf numFmtId="0" fontId="3" fillId="11" borderId="24" xfId="1" applyFont="1" applyFill="1" applyBorder="1" applyProtection="1"/>
    <xf numFmtId="0" fontId="3" fillId="11" borderId="2" xfId="1" applyFont="1" applyFill="1" applyBorder="1" applyProtection="1"/>
    <xf numFmtId="0" fontId="3" fillId="3" borderId="3" xfId="1" applyFont="1" applyFill="1" applyBorder="1" applyAlignment="1" applyProtection="1">
      <alignment vertical="center" wrapText="1"/>
    </xf>
    <xf numFmtId="0" fontId="3" fillId="3" borderId="0" xfId="1" applyFont="1" applyFill="1" applyAlignment="1" applyProtection="1">
      <alignment vertical="center" wrapText="1"/>
    </xf>
    <xf numFmtId="0" fontId="3" fillId="3" borderId="4" xfId="1" applyFont="1" applyFill="1" applyBorder="1" applyAlignment="1" applyProtection="1">
      <alignment vertical="center" wrapText="1"/>
    </xf>
    <xf numFmtId="0" fontId="3" fillId="11" borderId="3" xfId="1" applyFont="1" applyFill="1" applyBorder="1" applyProtection="1"/>
    <xf numFmtId="0" fontId="3" fillId="11" borderId="0" xfId="1" applyFont="1" applyFill="1" applyProtection="1"/>
    <xf numFmtId="0" fontId="3" fillId="11" borderId="4" xfId="1" applyFont="1" applyFill="1" applyBorder="1" applyProtection="1"/>
    <xf numFmtId="0" fontId="3" fillId="3" borderId="5" xfId="1" applyFont="1" applyFill="1" applyBorder="1" applyAlignment="1" applyProtection="1">
      <alignment vertical="center" wrapText="1"/>
    </xf>
    <xf numFmtId="0" fontId="3" fillId="3" borderId="25" xfId="1" applyFont="1" applyFill="1" applyBorder="1" applyAlignment="1" applyProtection="1">
      <alignment vertical="center" wrapText="1"/>
    </xf>
    <xf numFmtId="0" fontId="3" fillId="3" borderId="6" xfId="1" applyFont="1" applyFill="1" applyBorder="1" applyAlignment="1" applyProtection="1">
      <alignment vertical="center" wrapText="1"/>
    </xf>
    <xf numFmtId="0" fontId="3" fillId="11" borderId="5" xfId="1" applyFont="1" applyFill="1" applyBorder="1" applyProtection="1"/>
    <xf numFmtId="0" fontId="3" fillId="11" borderId="25" xfId="1" applyFont="1" applyFill="1" applyBorder="1" applyProtection="1"/>
    <xf numFmtId="0" fontId="3" fillId="11" borderId="6" xfId="1" applyFont="1" applyFill="1" applyBorder="1" applyProtection="1"/>
    <xf numFmtId="0" fontId="11" fillId="8" borderId="0" xfId="1" applyFont="1" applyFill="1" applyAlignment="1" applyProtection="1">
      <alignment horizontal="center" vertical="center"/>
    </xf>
    <xf numFmtId="0" fontId="3" fillId="8" borderId="1" xfId="1" applyFont="1" applyFill="1" applyBorder="1" applyAlignment="1" applyProtection="1">
      <alignment vertical="center" wrapText="1"/>
    </xf>
    <xf numFmtId="0" fontId="3" fillId="8" borderId="24" xfId="1" applyFont="1" applyFill="1" applyBorder="1" applyAlignment="1" applyProtection="1">
      <alignment vertical="center" wrapText="1"/>
    </xf>
    <xf numFmtId="0" fontId="3" fillId="8" borderId="2" xfId="1" applyFont="1" applyFill="1" applyBorder="1" applyAlignment="1" applyProtection="1">
      <alignment vertical="center" wrapText="1"/>
    </xf>
    <xf numFmtId="0" fontId="3" fillId="8" borderId="3" xfId="1" applyFont="1" applyFill="1" applyBorder="1" applyAlignment="1" applyProtection="1">
      <alignment vertical="center" wrapText="1"/>
    </xf>
    <xf numFmtId="0" fontId="3" fillId="8" borderId="0" xfId="1" applyFont="1" applyFill="1" applyAlignment="1" applyProtection="1">
      <alignment vertical="center" wrapText="1"/>
    </xf>
    <xf numFmtId="0" fontId="3" fillId="8" borderId="4" xfId="1" applyFont="1" applyFill="1" applyBorder="1" applyAlignment="1" applyProtection="1">
      <alignment vertical="center" wrapText="1"/>
    </xf>
    <xf numFmtId="0" fontId="3" fillId="8" borderId="5" xfId="1" applyFont="1" applyFill="1" applyBorder="1" applyAlignment="1" applyProtection="1">
      <alignment vertical="center" wrapText="1"/>
    </xf>
    <xf numFmtId="0" fontId="3" fillId="8" borderId="25" xfId="1" applyFont="1" applyFill="1" applyBorder="1" applyAlignment="1" applyProtection="1">
      <alignment vertical="center" wrapText="1"/>
    </xf>
    <xf numFmtId="0" fontId="3" fillId="8" borderId="6" xfId="1" applyFont="1" applyFill="1" applyBorder="1" applyAlignment="1" applyProtection="1">
      <alignment vertical="center" wrapText="1"/>
    </xf>
    <xf numFmtId="0" fontId="6" fillId="5" borderId="0" xfId="1" applyFont="1" applyFill="1" applyAlignment="1" applyProtection="1">
      <alignment horizontal="left" vertical="center"/>
    </xf>
    <xf numFmtId="0" fontId="7" fillId="2" borderId="0" xfId="1" applyFont="1" applyFill="1" applyAlignment="1" applyProtection="1">
      <alignment vertical="center" wrapText="1"/>
    </xf>
    <xf numFmtId="0" fontId="3" fillId="0" borderId="6" xfId="1" applyFont="1" applyBorder="1" applyAlignment="1" applyProtection="1">
      <alignment vertical="center" wrapText="1"/>
    </xf>
    <xf numFmtId="0" fontId="3" fillId="0" borderId="7" xfId="1" applyFont="1" applyBorder="1" applyAlignment="1" applyProtection="1">
      <alignment vertical="center" wrapText="1"/>
    </xf>
    <xf numFmtId="0" fontId="3" fillId="0" borderId="9" xfId="1" applyFont="1" applyBorder="1" applyAlignment="1" applyProtection="1">
      <alignment vertical="center" wrapText="1"/>
    </xf>
    <xf numFmtId="0" fontId="3" fillId="0" borderId="8" xfId="1" applyFont="1" applyBorder="1" applyAlignment="1" applyProtection="1">
      <alignment vertical="center" wrapText="1"/>
    </xf>
    <xf numFmtId="176" fontId="3" fillId="0" borderId="9" xfId="1" applyNumberFormat="1" applyFont="1" applyBorder="1" applyAlignment="1" applyProtection="1">
      <alignment vertical="center" wrapText="1"/>
    </xf>
    <xf numFmtId="177" fontId="3" fillId="0" borderId="9" xfId="1" applyNumberFormat="1" applyFont="1" applyBorder="1" applyAlignment="1" applyProtection="1">
      <alignment vertical="center" wrapText="1"/>
    </xf>
    <xf numFmtId="1" fontId="3" fillId="0" borderId="9" xfId="1" applyNumberFormat="1" applyFont="1" applyBorder="1" applyAlignment="1" applyProtection="1">
      <alignment vertical="center" wrapText="1"/>
    </xf>
    <xf numFmtId="0" fontId="3" fillId="0" borderId="10" xfId="1" applyFont="1" applyBorder="1" applyAlignment="1" applyProtection="1">
      <alignment vertical="center" wrapText="1"/>
    </xf>
    <xf numFmtId="0" fontId="3" fillId="0" borderId="2" xfId="1" applyFont="1" applyBorder="1" applyAlignment="1" applyProtection="1">
      <alignment vertical="center" wrapText="1"/>
    </xf>
    <xf numFmtId="0" fontId="3" fillId="0" borderId="11" xfId="1" applyFont="1" applyBorder="1" applyAlignment="1" applyProtection="1">
      <alignment vertical="center" wrapText="1"/>
    </xf>
    <xf numFmtId="0" fontId="3" fillId="0" borderId="1" xfId="1" applyFont="1" applyBorder="1" applyAlignment="1" applyProtection="1">
      <alignment vertical="center" wrapText="1"/>
    </xf>
  </cellXfs>
  <cellStyles count="2">
    <cellStyle name="Normal" xfId="1" xr:uid="{00000000-0005-0000-0000-000000000000}"/>
    <cellStyle name="常规" xfId="0" builtinId="0"/>
  </cellStyles>
  <dxfs count="10">
    <dxf>
      <font>
        <b/>
        <color rgb="FFB7791F"/>
      </font>
      <fill>
        <patternFill patternType="solid">
          <bgColor rgb="FFFBF3DE"/>
        </patternFill>
      </fill>
    </dxf>
    <dxf>
      <fill>
        <patternFill patternType="solid">
          <bgColor rgb="FFF0F2F3"/>
        </patternFill>
      </fill>
      <border>
        <left style="medium">
          <color rgb="FF00334F"/>
        </left>
      </border>
    </dxf>
    <dxf>
      <fill>
        <patternFill patternType="solid">
          <bgColor rgb="FFEFF7EF"/>
        </patternFill>
      </fill>
    </dxf>
    <dxf>
      <fill>
        <patternFill patternType="solid">
          <bgColor rgb="FFEDF4FA"/>
        </patternFill>
      </fill>
    </dxf>
    <dxf>
      <font>
        <b/>
        <color rgb="FFB7791F"/>
      </font>
      <fill>
        <patternFill patternType="solid">
          <bgColor rgb="FFFBF3DE"/>
        </patternFill>
      </fill>
    </dxf>
    <dxf>
      <fill>
        <patternFill patternType="solid">
          <bgColor rgb="FFF0F2F3"/>
        </patternFill>
      </fill>
      <border>
        <left style="medium">
          <color rgb="FF00334F"/>
        </left>
      </border>
    </dxf>
    <dxf>
      <fill>
        <patternFill patternType="solid">
          <bgColor rgb="FFEFF7EF"/>
        </patternFill>
      </fill>
    </dxf>
    <dxf>
      <fill>
        <patternFill patternType="solid">
          <bgColor rgb="FFEDF4FA"/>
        </patternFill>
      </fill>
    </dxf>
    <dxf>
      <font>
        <b/>
        <color rgb="FF9B1C1C"/>
      </font>
      <fill>
        <patternFill patternType="solid">
          <bgColor rgb="FFFDECEC"/>
        </patternFill>
      </fill>
    </dxf>
    <dxf>
      <font>
        <b/>
        <color rgb="FFB7791F"/>
      </font>
      <fill>
        <patternFill patternType="solid">
          <bgColor rgb="FFFBF3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38100</xdr:colOff>
      <xdr:row>32</xdr:row>
      <xdr:rowOff>160020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2770C325-6019-C970-5E28-5D7D28A680F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14400" cy="514350"/>
    <xdr:pic>
      <xdr:nvPicPr>
        <xdr:cNvPr id="2" name="61190885-7018-4890-a5d3-96cf7d9b868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800100" cy="800100"/>
    <xdr:pic>
      <xdr:nvPicPr>
        <xdr:cNvPr id="3" name="af6364da-51af-4249-a15b-3f5ca54d2f1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800100" cy="800100"/>
    <xdr:pic>
      <xdr:nvPicPr>
        <xdr:cNvPr id="4" name="79709d79-acc7-40c4-be3e-52a8482813ef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43</xdr:row>
      <xdr:rowOff>0</xdr:rowOff>
    </xdr:from>
    <xdr:ext cx="609600" cy="609600"/>
    <xdr:pic>
      <xdr:nvPicPr>
        <xdr:cNvPr id="5" name="53714dff-30d5-4172-9b20-38e44c03f5c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14400" cy="514350"/>
    <xdr:pic>
      <xdr:nvPicPr>
        <xdr:cNvPr id="2" name="51eb3ba1-4ab6-4088-8b55-dd2f4a0e5c1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800100" cy="800100"/>
    <xdr:pic>
      <xdr:nvPicPr>
        <xdr:cNvPr id="3" name="ebceadfc-d12a-46d1-8229-dc17dd049c05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800100" cy="800100"/>
    <xdr:pic>
      <xdr:nvPicPr>
        <xdr:cNvPr id="4" name="1c56d5ca-bbc2-4915-b34d-d64abad0d9fc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0</xdr:colOff>
      <xdr:row>43</xdr:row>
      <xdr:rowOff>0</xdr:rowOff>
    </xdr:from>
    <xdr:ext cx="609600" cy="609600"/>
    <xdr:pic>
      <xdr:nvPicPr>
        <xdr:cNvPr id="5" name="b21fbfd9-f58c-4a74-8475-485110678e89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190750" cy="1428750"/>
    <xdr:pic>
      <xdr:nvPicPr>
        <xdr:cNvPr id="2" name="4948a94f-606a-46a9-8e61-2f5ee81551c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1123950" cy="1123950"/>
    <xdr:pic>
      <xdr:nvPicPr>
        <xdr:cNvPr id="3" name="486979f0-a81c-46eb-ac35-4a55e6a12219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1123950" cy="1123950"/>
    <xdr:pic>
      <xdr:nvPicPr>
        <xdr:cNvPr id="4" name="1163d2c1-8084-457b-aca9-072af26d229f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</xdr:row>
      <xdr:rowOff>0</xdr:rowOff>
    </xdr:from>
    <xdr:ext cx="1123950" cy="1123950"/>
    <xdr:pic>
      <xdr:nvPicPr>
        <xdr:cNvPr id="5" name="6b671a14-dfc9-46ea-97ce-a80a02c6aa89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241716CE-C138-4110-B33F-C4405066BB1A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AgendaEditTable" displayName="AgendaEditTable" ref="A3:Q63" totalsRowShown="0">
  <tableColumns count="17">
    <tableColumn id="1" xr3:uid="{00000000-0010-0000-0000-000001000000}" name="序号"/>
    <tableColumn id="2" xr3:uid="{00000000-0010-0000-0000-000002000000}" name="项目键"/>
    <tableColumn id="3" xr3:uid="{00000000-0010-0000-0000-000003000000}" name="分组编号"/>
    <tableColumn id="4" xr3:uid="{00000000-0010-0000-0000-000004000000}" name="分组名称"/>
    <tableColumn id="5" xr3:uid="{00000000-0010-0000-0000-000005000000}" name="类型"/>
    <tableColumn id="6" xr3:uid="{00000000-0010-0000-0000-000006000000}" name="自动开始时间"/>
    <tableColumn id="7" xr3:uid="{00000000-0010-0000-0000-000007000000}" name="来源标题"/>
    <tableColumn id="8" xr3:uid="{00000000-0010-0000-0000-000008000000}" name="来源说明"/>
    <tableColumn id="9" xr3:uid="{00000000-0010-0000-0000-000009000000}" name="来源时长"/>
    <tableColumn id="10" xr3:uid="{00000000-0010-0000-0000-00000A000000}" name="来源排程分钟"/>
    <tableColumn id="11" xr3:uid="{00000000-0010-0000-0000-00000B000000}" name="来源负责人"/>
    <tableColumn id="12" xr3:uid="{00000000-0010-0000-0000-00000C000000}" name="修正标题"/>
    <tableColumn id="13" xr3:uid="{00000000-0010-0000-0000-00000D000000}" name="修正说明"/>
    <tableColumn id="14" xr3:uid="{00000000-0010-0000-0000-00000E000000}" name="修正时长"/>
    <tableColumn id="15" xr3:uid="{00000000-0010-0000-0000-00000F000000}" name="修正排程分钟"/>
    <tableColumn id="16" xr3:uid="{00000000-0010-0000-0000-000010000000}" name="修正负责人"/>
    <tableColumn id="17" xr3:uid="{00000000-0010-0000-0000-000011000000}" name="状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gendaTemplatesTable" displayName="AgendaTemplatesTable" ref="A1:M57" totalsRowShown="0">
  <tableColumns count="13">
    <tableColumn id="1" xr3:uid="{00000000-0010-0000-0100-000001000000}" name="模板ID"/>
    <tableColumn id="2" xr3:uid="{00000000-0010-0000-0100-000002000000}" name="模板名称"/>
    <tableColumn id="3" xr3:uid="{00000000-0010-0000-0100-000003000000}" name="顺序"/>
    <tableColumn id="4" xr3:uid="{00000000-0010-0000-0100-000004000000}" name="项目键"/>
    <tableColumn id="5" xr3:uid="{00000000-0010-0000-0100-000005000000}" name="类型"/>
    <tableColumn id="6" xr3:uid="{00000000-0010-0000-0100-000006000000}" name="分组编号"/>
    <tableColumn id="7" xr3:uid="{00000000-0010-0000-0100-000007000000}" name="分组名称"/>
    <tableColumn id="8" xr3:uid="{00000000-0010-0000-0100-000008000000}" name="标题"/>
    <tableColumn id="9" xr3:uid="{00000000-0010-0000-0100-000009000000}" name="说明"/>
    <tableColumn id="10" xr3:uid="{00000000-0010-0000-0100-00000A000000}" name="时长显示"/>
    <tableColumn id="11" xr3:uid="{00000000-0010-0000-0100-00000B000000}" name="排程分钟"/>
    <tableColumn id="12" xr3:uid="{00000000-0010-0000-0100-00000C000000}" name="默认负责人"/>
    <tableColumn id="13" xr3:uid="{00000000-0010-0000-0100-00000D000000}" name="行类型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BaseInfoTable" displayName="BaseInfoTable" ref="A1:B14" totalsRowShown="0">
  <tableColumns count="2">
    <tableColumn id="1" xr3:uid="{00000000-0010-0000-0200-000001000000}" name="字段"/>
    <tableColumn id="2" xr3:uid="{00000000-0010-0000-0200-000002000000}" name="内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6-07-17T03:51:22.91" personId="{241716CE-C138-4110-B33F-C4405066BB1A}" id="{3EDC1636-1142-0F0B-DD60-0A9A48505361}">
    <text>接龙导入、议程模板和手工编辑共用同一套修正与 A4 输出。</text>
  </threadedComment>
  <threadedComment ref="B18" dT="2026-07-17T03:51:22.91" personId="{241716CE-C138-4110-B33F-C4405066BB1A}" id="{77C4ABCE-C35E-EFE3-1333-F593AC0AB9B3}">
    <text>粘贴完整微信接龙文字。先检查右侧解析预览；仅当议程来源选择“接龙导入”时，A4议程才采用解析结果。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"/>
  <sheetViews>
    <sheetView showGridLines="0" tabSelected="1" workbookViewId="0">
      <selection sqref="A1:P2"/>
    </sheetView>
  </sheetViews>
  <sheetFormatPr defaultRowHeight="13.8"/>
  <cols>
    <col min="1" max="1" width="4" customWidth="1"/>
    <col min="2" max="4" width="8.5" customWidth="1"/>
    <col min="5" max="5" width="3.5" customWidth="1"/>
    <col min="6" max="8" width="8.5" customWidth="1"/>
    <col min="9" max="9" width="3.5" customWidth="1"/>
    <col min="10" max="12" width="8.5" customWidth="1"/>
    <col min="13" max="13" width="3.5" customWidth="1"/>
    <col min="14" max="16" width="8.5" customWidth="1"/>
    <col min="17" max="17" width="0.19921875" customWidth="1"/>
  </cols>
  <sheetData>
    <row r="1" spans="1:17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</row>
    <row r="2" spans="1:17">
      <c r="A2" s="29" t="s">
        <v>0</v>
      </c>
      <c r="B2" s="29" t="s">
        <v>0</v>
      </c>
      <c r="C2" s="29" t="s">
        <v>0</v>
      </c>
      <c r="D2" s="29" t="s">
        <v>0</v>
      </c>
      <c r="E2" s="29" t="s">
        <v>0</v>
      </c>
      <c r="F2" s="29" t="s">
        <v>0</v>
      </c>
      <c r="G2" s="29" t="s">
        <v>0</v>
      </c>
      <c r="H2" s="29" t="s">
        <v>0</v>
      </c>
      <c r="I2" s="29" t="s">
        <v>0</v>
      </c>
      <c r="J2" s="29" t="s">
        <v>0</v>
      </c>
      <c r="K2" s="29" t="s">
        <v>0</v>
      </c>
      <c r="L2" s="29" t="s">
        <v>0</v>
      </c>
      <c r="M2" s="29" t="s">
        <v>0</v>
      </c>
      <c r="N2" s="29" t="s">
        <v>0</v>
      </c>
      <c r="O2" s="29" t="s">
        <v>0</v>
      </c>
      <c r="P2" s="29" t="s">
        <v>0</v>
      </c>
      <c r="Q2" s="16" t="str" cm="1">
        <f t="array" ref="Q2:Q3">_xlfn._xlws.SORT(_xlfn.UNIQUE(_xlfn._xlws.FILTER(模板库!$B$2:$B$1000,模板库!$B$2:$B$1000&lt;&gt;"")))</f>
        <v>常规例会模板</v>
      </c>
    </row>
    <row r="3" spans="1:17" ht="1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6" t="str">
        <v>即兴马拉松模板</v>
      </c>
    </row>
    <row r="4" spans="1:17" ht="28.5" customHeight="1">
      <c r="A4" s="15" t="s">
        <v>1</v>
      </c>
      <c r="B4" s="30" t="s">
        <v>2</v>
      </c>
      <c r="C4" s="31" t="s">
        <v>2</v>
      </c>
      <c r="D4" s="32" t="s">
        <v>2</v>
      </c>
      <c r="E4" s="15" t="s">
        <v>3</v>
      </c>
      <c r="F4" s="30" t="s">
        <v>4</v>
      </c>
      <c r="G4" s="31" t="s">
        <v>4</v>
      </c>
      <c r="H4" s="31" t="s">
        <v>4</v>
      </c>
      <c r="I4" s="31" t="s">
        <v>4</v>
      </c>
      <c r="J4" s="32" t="s">
        <v>4</v>
      </c>
      <c r="K4" s="14"/>
      <c r="L4" s="33" t="s">
        <v>5</v>
      </c>
      <c r="M4" s="34" t="s">
        <v>5</v>
      </c>
      <c r="N4" s="34" t="s">
        <v>5</v>
      </c>
      <c r="O4" s="34" t="s">
        <v>5</v>
      </c>
      <c r="P4" s="35" t="s">
        <v>5</v>
      </c>
      <c r="Q4" s="16"/>
    </row>
    <row r="5" spans="1:17" ht="1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6"/>
    </row>
    <row r="6" spans="1:17" ht="16.2">
      <c r="A6" s="36" t="s">
        <v>6</v>
      </c>
      <c r="B6" s="36" t="s">
        <v>6</v>
      </c>
      <c r="C6" s="36" t="s">
        <v>6</v>
      </c>
      <c r="D6" s="36" t="s">
        <v>6</v>
      </c>
      <c r="E6" s="36" t="s">
        <v>6</v>
      </c>
      <c r="F6" s="36" t="s">
        <v>6</v>
      </c>
      <c r="G6" s="36" t="s">
        <v>6</v>
      </c>
      <c r="H6" s="36" t="s">
        <v>6</v>
      </c>
      <c r="I6" s="36" t="s">
        <v>6</v>
      </c>
      <c r="J6" s="36" t="s">
        <v>6</v>
      </c>
      <c r="K6" s="36" t="s">
        <v>6</v>
      </c>
      <c r="L6" s="36" t="s">
        <v>6</v>
      </c>
      <c r="M6" s="36" t="s">
        <v>6</v>
      </c>
      <c r="N6" s="36" t="s">
        <v>6</v>
      </c>
      <c r="O6" s="36" t="s">
        <v>6</v>
      </c>
      <c r="P6" s="36" t="s">
        <v>6</v>
      </c>
      <c r="Q6" s="16"/>
    </row>
    <row r="7" spans="1:17" ht="28.5" customHeight="1">
      <c r="A7" s="15" t="s">
        <v>7</v>
      </c>
      <c r="B7" s="37" t="s">
        <v>8</v>
      </c>
      <c r="C7" s="38" t="s">
        <v>8</v>
      </c>
      <c r="D7" s="39" t="s">
        <v>8</v>
      </c>
      <c r="E7" s="15" t="s">
        <v>9</v>
      </c>
      <c r="F7" s="37" t="s">
        <v>10</v>
      </c>
      <c r="G7" s="38" t="s">
        <v>10</v>
      </c>
      <c r="H7" s="39" t="s">
        <v>10</v>
      </c>
      <c r="I7" s="15" t="s">
        <v>11</v>
      </c>
      <c r="J7" s="37" t="s">
        <v>12</v>
      </c>
      <c r="K7" s="38" t="s">
        <v>12</v>
      </c>
      <c r="L7" s="39" t="s">
        <v>12</v>
      </c>
      <c r="M7" s="15" t="s">
        <v>13</v>
      </c>
      <c r="N7" s="37" t="s">
        <v>14</v>
      </c>
      <c r="O7" s="38" t="s">
        <v>14</v>
      </c>
      <c r="P7" s="39" t="s">
        <v>14</v>
      </c>
      <c r="Q7" s="16"/>
    </row>
    <row r="8" spans="1:17" ht="1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6"/>
    </row>
    <row r="9" spans="1:17" ht="1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6"/>
    </row>
    <row r="10" spans="1:17" ht="28.5" customHeight="1">
      <c r="A10" s="15" t="s">
        <v>15</v>
      </c>
      <c r="B10" s="40">
        <v>46203</v>
      </c>
      <c r="C10" s="31">
        <v>46203</v>
      </c>
      <c r="D10" s="32">
        <v>46203</v>
      </c>
      <c r="E10" s="15" t="s">
        <v>16</v>
      </c>
      <c r="F10" s="41">
        <v>0.80555555555555558</v>
      </c>
      <c r="G10" s="31">
        <v>0.80555555555555558</v>
      </c>
      <c r="H10" s="32">
        <v>0.80555555555555558</v>
      </c>
      <c r="I10" s="15" t="s">
        <v>17</v>
      </c>
      <c r="J10" s="41">
        <v>0.89583333333333337</v>
      </c>
      <c r="K10" s="31">
        <v>0.89583333333333337</v>
      </c>
      <c r="L10" s="32">
        <v>0.89583333333333337</v>
      </c>
      <c r="M10" s="14"/>
      <c r="N10" s="42" t="s">
        <v>18</v>
      </c>
      <c r="O10" s="43" t="s">
        <v>18</v>
      </c>
      <c r="P10" s="44" t="s">
        <v>18</v>
      </c>
      <c r="Q10" s="16"/>
    </row>
    <row r="11" spans="1:17" ht="1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6"/>
    </row>
    <row r="13" spans="1:17" ht="24" customHeight="1">
      <c r="A13" s="15" t="s">
        <v>19</v>
      </c>
      <c r="B13" s="45" t="s">
        <v>20</v>
      </c>
      <c r="C13" s="46" t="s">
        <v>20</v>
      </c>
      <c r="D13" s="46" t="s">
        <v>20</v>
      </c>
      <c r="E13" s="46" t="s">
        <v>20</v>
      </c>
      <c r="F13" s="46" t="s">
        <v>20</v>
      </c>
      <c r="G13" s="46" t="s">
        <v>20</v>
      </c>
      <c r="H13" s="46" t="s">
        <v>20</v>
      </c>
      <c r="I13" s="46" t="s">
        <v>20</v>
      </c>
      <c r="J13" s="46" t="s">
        <v>20</v>
      </c>
      <c r="K13" s="46" t="s">
        <v>20</v>
      </c>
      <c r="L13" s="46" t="s">
        <v>20</v>
      </c>
      <c r="M13" s="46" t="s">
        <v>20</v>
      </c>
      <c r="N13" s="46" t="s">
        <v>20</v>
      </c>
      <c r="O13" s="46" t="s">
        <v>20</v>
      </c>
      <c r="P13" s="47" t="s">
        <v>20</v>
      </c>
      <c r="Q13" s="16"/>
    </row>
    <row r="14" spans="1:17" ht="24" customHeight="1">
      <c r="A14" s="14"/>
      <c r="B14" s="48" t="s">
        <v>20</v>
      </c>
      <c r="C14" s="49" t="s">
        <v>20</v>
      </c>
      <c r="D14" s="49" t="s">
        <v>20</v>
      </c>
      <c r="E14" s="49" t="s">
        <v>20</v>
      </c>
      <c r="F14" s="49" t="s">
        <v>20</v>
      </c>
      <c r="G14" s="49" t="s">
        <v>20</v>
      </c>
      <c r="H14" s="49" t="s">
        <v>20</v>
      </c>
      <c r="I14" s="49" t="s">
        <v>20</v>
      </c>
      <c r="J14" s="49" t="s">
        <v>20</v>
      </c>
      <c r="K14" s="49" t="s">
        <v>20</v>
      </c>
      <c r="L14" s="49" t="s">
        <v>20</v>
      </c>
      <c r="M14" s="49" t="s">
        <v>20</v>
      </c>
      <c r="N14" s="49" t="s">
        <v>20</v>
      </c>
      <c r="O14" s="49" t="s">
        <v>20</v>
      </c>
      <c r="P14" s="50" t="s">
        <v>20</v>
      </c>
      <c r="Q14" s="16"/>
    </row>
    <row r="15" spans="1:17" ht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6"/>
    </row>
    <row r="16" spans="1:17" ht="16.2">
      <c r="A16" s="51" t="s">
        <v>21</v>
      </c>
      <c r="B16" s="51" t="s">
        <v>21</v>
      </c>
      <c r="C16" s="51" t="s">
        <v>21</v>
      </c>
      <c r="D16" s="51" t="s">
        <v>21</v>
      </c>
      <c r="E16" s="51" t="s">
        <v>21</v>
      </c>
      <c r="F16" s="51" t="s">
        <v>21</v>
      </c>
      <c r="G16" s="51" t="s">
        <v>21</v>
      </c>
      <c r="H16" s="51" t="s">
        <v>21</v>
      </c>
      <c r="I16" s="51" t="s">
        <v>21</v>
      </c>
      <c r="J16" s="51" t="s">
        <v>21</v>
      </c>
      <c r="K16" s="14"/>
      <c r="L16" s="51" t="s">
        <v>22</v>
      </c>
      <c r="M16" s="51" t="s">
        <v>22</v>
      </c>
      <c r="N16" s="51" t="s">
        <v>22</v>
      </c>
      <c r="O16" s="51" t="s">
        <v>22</v>
      </c>
      <c r="P16" s="51" t="s">
        <v>22</v>
      </c>
      <c r="Q16" s="16"/>
    </row>
    <row r="17" spans="1:17" ht="1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6"/>
    </row>
    <row r="18" spans="1:17" ht="18" customHeight="1">
      <c r="A18" s="14"/>
      <c r="B18" s="52" t="s">
        <v>23</v>
      </c>
      <c r="C18" s="53" t="s">
        <v>23</v>
      </c>
      <c r="D18" s="53" t="s">
        <v>23</v>
      </c>
      <c r="E18" s="53" t="s">
        <v>23</v>
      </c>
      <c r="F18" s="53" t="s">
        <v>23</v>
      </c>
      <c r="G18" s="53" t="s">
        <v>23</v>
      </c>
      <c r="H18" s="53" t="s">
        <v>23</v>
      </c>
      <c r="I18" s="53" t="s">
        <v>23</v>
      </c>
      <c r="J18" s="54" t="s">
        <v>23</v>
      </c>
      <c r="K18" s="14"/>
      <c r="L18" s="61" t="str">
        <f>"期数："&amp;计算区!$E$2&amp;" · 主题："&amp;计算区!$E$3</f>
        <v>期数：779 · 主题：志愿者</v>
      </c>
      <c r="M18" s="62"/>
      <c r="N18" s="62"/>
      <c r="O18" s="62"/>
      <c r="P18" s="63"/>
      <c r="Q18" s="16"/>
    </row>
    <row r="19" spans="1:17" ht="18" customHeight="1">
      <c r="A19" s="14"/>
      <c r="B19" s="55" t="s">
        <v>23</v>
      </c>
      <c r="C19" s="56" t="s">
        <v>23</v>
      </c>
      <c r="D19" s="56" t="s">
        <v>23</v>
      </c>
      <c r="E19" s="56" t="s">
        <v>23</v>
      </c>
      <c r="F19" s="56" t="s">
        <v>23</v>
      </c>
      <c r="G19" s="56" t="s">
        <v>23</v>
      </c>
      <c r="H19" s="56" t="s">
        <v>23</v>
      </c>
      <c r="I19" s="56" t="s">
        <v>23</v>
      </c>
      <c r="J19" s="57" t="s">
        <v>23</v>
      </c>
      <c r="K19" s="14"/>
      <c r="L19" s="64"/>
      <c r="M19" s="65"/>
      <c r="N19" s="65"/>
      <c r="O19" s="65"/>
      <c r="P19" s="66"/>
      <c r="Q19" s="16"/>
    </row>
    <row r="20" spans="1:17" ht="18" customHeight="1">
      <c r="A20" s="14"/>
      <c r="B20" s="55" t="s">
        <v>23</v>
      </c>
      <c r="C20" s="56" t="s">
        <v>23</v>
      </c>
      <c r="D20" s="56" t="s">
        <v>23</v>
      </c>
      <c r="E20" s="56" t="s">
        <v>23</v>
      </c>
      <c r="F20" s="56" t="s">
        <v>23</v>
      </c>
      <c r="G20" s="56" t="s">
        <v>23</v>
      </c>
      <c r="H20" s="56" t="s">
        <v>23</v>
      </c>
      <c r="I20" s="56" t="s">
        <v>23</v>
      </c>
      <c r="J20" s="57" t="s">
        <v>23</v>
      </c>
      <c r="K20" s="14"/>
      <c r="L20" s="42" t="str">
        <f>"今日一词："&amp;计算区!$E$4&amp;" · 经理："&amp;计算区!$E$5</f>
        <v>今日一词：服务 · 经理：莫婷</v>
      </c>
      <c r="M20" s="43"/>
      <c r="N20" s="43"/>
      <c r="O20" s="43"/>
      <c r="P20" s="44"/>
      <c r="Q20" s="16"/>
    </row>
    <row r="21" spans="1:17" ht="18" customHeight="1">
      <c r="A21" s="14"/>
      <c r="B21" s="55" t="s">
        <v>23</v>
      </c>
      <c r="C21" s="56" t="s">
        <v>23</v>
      </c>
      <c r="D21" s="56" t="s">
        <v>23</v>
      </c>
      <c r="E21" s="56" t="s">
        <v>23</v>
      </c>
      <c r="F21" s="56" t="s">
        <v>23</v>
      </c>
      <c r="G21" s="56" t="s">
        <v>23</v>
      </c>
      <c r="H21" s="56" t="s">
        <v>23</v>
      </c>
      <c r="I21" s="56" t="s">
        <v>23</v>
      </c>
      <c r="J21" s="57" t="s">
        <v>23</v>
      </c>
      <c r="K21" s="14"/>
      <c r="L21" s="61" t="str">
        <f ca="1">IF(计算区!$E$6="","日期/时间：待检查","日期/时间："&amp;TEXT(计算区!$E$6,"yyyy-mm-dd")&amp;" "&amp;TEXT(计算区!$E$7,"hh:mm")&amp;"–"&amp;TEXT(计算区!$E$8,"hh:mm"))</f>
        <v>日期/时间：2026-06-09 19:30–21:30</v>
      </c>
      <c r="M21" s="62"/>
      <c r="N21" s="62"/>
      <c r="O21" s="62"/>
      <c r="P21" s="63"/>
      <c r="Q21" s="16"/>
    </row>
    <row r="22" spans="1:17" ht="18" customHeight="1">
      <c r="A22" s="14"/>
      <c r="B22" s="55" t="s">
        <v>23</v>
      </c>
      <c r="C22" s="56" t="s">
        <v>23</v>
      </c>
      <c r="D22" s="56" t="s">
        <v>23</v>
      </c>
      <c r="E22" s="56" t="s">
        <v>23</v>
      </c>
      <c r="F22" s="56" t="s">
        <v>23</v>
      </c>
      <c r="G22" s="56" t="s">
        <v>23</v>
      </c>
      <c r="H22" s="56" t="s">
        <v>23</v>
      </c>
      <c r="I22" s="56" t="s">
        <v>23</v>
      </c>
      <c r="J22" s="57" t="s">
        <v>23</v>
      </c>
      <c r="K22" s="14"/>
      <c r="L22" s="64"/>
      <c r="M22" s="65"/>
      <c r="N22" s="65"/>
      <c r="O22" s="65"/>
      <c r="P22" s="66"/>
      <c r="Q22" s="16"/>
    </row>
    <row r="23" spans="1:17" ht="18" customHeight="1">
      <c r="A23" s="14"/>
      <c r="B23" s="55" t="s">
        <v>23</v>
      </c>
      <c r="C23" s="56" t="s">
        <v>23</v>
      </c>
      <c r="D23" s="56" t="s">
        <v>23</v>
      </c>
      <c r="E23" s="56" t="s">
        <v>23</v>
      </c>
      <c r="F23" s="56" t="s">
        <v>23</v>
      </c>
      <c r="G23" s="56" t="s">
        <v>23</v>
      </c>
      <c r="H23" s="56" t="s">
        <v>23</v>
      </c>
      <c r="I23" s="56" t="s">
        <v>23</v>
      </c>
      <c r="J23" s="57" t="s">
        <v>23</v>
      </c>
      <c r="K23" s="14"/>
      <c r="L23" s="42" t="str">
        <f>"地点："&amp;计算区!$E$9</f>
        <v>地点：深圳南山•讯美科技3号楼4楼Space Max会议室</v>
      </c>
      <c r="M23" s="43"/>
      <c r="N23" s="43"/>
      <c r="O23" s="43"/>
      <c r="P23" s="44"/>
      <c r="Q23" s="16"/>
    </row>
    <row r="24" spans="1:17" ht="18" customHeight="1">
      <c r="A24" s="14"/>
      <c r="B24" s="55" t="s">
        <v>23</v>
      </c>
      <c r="C24" s="56" t="s">
        <v>23</v>
      </c>
      <c r="D24" s="56" t="s">
        <v>23</v>
      </c>
      <c r="E24" s="56" t="s">
        <v>23</v>
      </c>
      <c r="F24" s="56" t="s">
        <v>23</v>
      </c>
      <c r="G24" s="56" t="s">
        <v>23</v>
      </c>
      <c r="H24" s="56" t="s">
        <v>23</v>
      </c>
      <c r="I24" s="56" t="s">
        <v>23</v>
      </c>
      <c r="J24" s="57" t="s">
        <v>23</v>
      </c>
      <c r="K24" s="14"/>
      <c r="L24" s="42" t="str">
        <f>"解析角色数："&amp;计算区!$E$12&amp;" · 生成项目数："&amp;计算区!$E$13</f>
        <v>解析角色数：22 · 生成项目数：21</v>
      </c>
      <c r="M24" s="43"/>
      <c r="N24" s="43"/>
      <c r="O24" s="43"/>
      <c r="P24" s="44"/>
      <c r="Q24" s="16"/>
    </row>
    <row r="25" spans="1:17" ht="18" customHeight="1">
      <c r="A25" s="14"/>
      <c r="B25" s="55" t="s">
        <v>23</v>
      </c>
      <c r="C25" s="56" t="s">
        <v>23</v>
      </c>
      <c r="D25" s="56" t="s">
        <v>23</v>
      </c>
      <c r="E25" s="56" t="s">
        <v>23</v>
      </c>
      <c r="F25" s="56" t="s">
        <v>23</v>
      </c>
      <c r="G25" s="56" t="s">
        <v>23</v>
      </c>
      <c r="H25" s="56" t="s">
        <v>23</v>
      </c>
      <c r="I25" s="56" t="s">
        <v>23</v>
      </c>
      <c r="J25" s="57" t="s">
        <v>23</v>
      </c>
      <c r="K25" s="14"/>
      <c r="L25" s="67" t="str">
        <f ca="1">IF(计算区!$E$11="","接龙字段已解析；切换来源后生效。",计算区!$E$11)</f>
        <v>接龙字段已解析；切换来源后生效。</v>
      </c>
      <c r="M25" s="68"/>
      <c r="N25" s="68"/>
      <c r="O25" s="68"/>
      <c r="P25" s="69"/>
      <c r="Q25" s="16"/>
    </row>
    <row r="26" spans="1:17" ht="18" customHeight="1">
      <c r="A26" s="14"/>
      <c r="B26" s="58" t="s">
        <v>23</v>
      </c>
      <c r="C26" s="59" t="s">
        <v>23</v>
      </c>
      <c r="D26" s="59" t="s">
        <v>23</v>
      </c>
      <c r="E26" s="59" t="s">
        <v>23</v>
      </c>
      <c r="F26" s="59" t="s">
        <v>23</v>
      </c>
      <c r="G26" s="59" t="s">
        <v>23</v>
      </c>
      <c r="H26" s="59" t="s">
        <v>23</v>
      </c>
      <c r="I26" s="59" t="s">
        <v>23</v>
      </c>
      <c r="J26" s="60" t="s">
        <v>23</v>
      </c>
      <c r="K26" s="14"/>
      <c r="L26" s="70" t="s">
        <v>24</v>
      </c>
      <c r="M26" s="71" t="s">
        <v>24</v>
      </c>
      <c r="N26" s="71" t="s">
        <v>24</v>
      </c>
      <c r="O26" s="71" t="s">
        <v>24</v>
      </c>
      <c r="P26" s="72" t="s">
        <v>24</v>
      </c>
      <c r="Q26" s="16"/>
    </row>
    <row r="27" spans="1:17" ht="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6"/>
    </row>
    <row r="28" spans="1:17" ht="16.2">
      <c r="A28" s="36" t="s">
        <v>25</v>
      </c>
      <c r="B28" s="36" t="s">
        <v>25</v>
      </c>
      <c r="C28" s="36" t="s">
        <v>25</v>
      </c>
      <c r="D28" s="36" t="s">
        <v>25</v>
      </c>
      <c r="E28" s="36" t="s">
        <v>25</v>
      </c>
      <c r="F28" s="36" t="s">
        <v>25</v>
      </c>
      <c r="G28" s="36" t="s">
        <v>25</v>
      </c>
      <c r="H28" s="36" t="s">
        <v>25</v>
      </c>
      <c r="I28" s="36" t="s">
        <v>25</v>
      </c>
      <c r="J28" s="36" t="s">
        <v>25</v>
      </c>
      <c r="K28" s="36" t="s">
        <v>25</v>
      </c>
      <c r="L28" s="36" t="s">
        <v>25</v>
      </c>
      <c r="M28" s="36" t="s">
        <v>25</v>
      </c>
      <c r="N28" s="36" t="s">
        <v>25</v>
      </c>
      <c r="O28" s="36" t="s">
        <v>25</v>
      </c>
      <c r="P28" s="36" t="s">
        <v>25</v>
      </c>
      <c r="Q28" s="16"/>
    </row>
    <row r="29" spans="1:17" ht="1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6"/>
    </row>
    <row r="30" spans="1:17" ht="22.5" customHeight="1">
      <c r="A30" s="14"/>
      <c r="B30" s="73" t="str">
        <f ca="1">_xlfn.LET(_xlpm.n,SUM(议程编辑!$S$4:$S$63),_xlpm.bad,计算区!$E$15,_xlpm.missing,计算区!$E$14,_xlpm.overtime,ROUND(计算区!$E$16,0),_xlpm.dateWarning,计算区!$E$11,_xlpm.w,IF(_xlpm.n&gt;60,"议程超过60项，请精简后再打印。"&amp;CHAR(10),"")&amp;IF(_xlpm.n&gt;30,"议程超过单页容量，将使用A4续页。"&amp;CHAR(10),"")&amp;IF(_xlpm.bad&gt;0,"存在缺少或非法排程分钟，后续排程已停止。"&amp;CHAR(10),"")&amp;IF(_xlpm.missing&gt;0,"仍有"&amp;_xlpm.missing&amp;"个负责人待定。"&amp;CHAR(10),"")&amp;IF(_xlpm.overtime&gt;0,"预计超时"&amp;_xlpm.overtime&amp;"分钟。"&amp;CHAR(10),"")&amp;IF(_xlpm.dateWarning&lt;&gt;"",_xlpm.dateWarning,""),IF(_xlpm.w="","议程状态正常，可以检查 A4 成品。",_xlpm.w))</f>
        <v xml:space="preserve">仍有23个负责人待定。
</v>
      </c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5"/>
      <c r="Q30" s="16"/>
    </row>
    <row r="31" spans="1:17" ht="22.5" customHeight="1">
      <c r="A31" s="14"/>
      <c r="B31" s="76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8"/>
      <c r="Q31" s="16"/>
    </row>
    <row r="32" spans="1:17" ht="22.5" customHeight="1">
      <c r="A32" s="14"/>
      <c r="B32" s="79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1"/>
      <c r="Q32" s="16"/>
    </row>
    <row r="33" spans="1:17" ht="1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6"/>
    </row>
    <row r="34" spans="1:17" ht="15">
      <c r="A34" s="14"/>
      <c r="B34" s="33" t="s">
        <v>26</v>
      </c>
      <c r="C34" s="34" t="s">
        <v>26</v>
      </c>
      <c r="D34" s="34" t="s">
        <v>26</v>
      </c>
      <c r="E34" s="34" t="s">
        <v>26</v>
      </c>
      <c r="F34" s="34" t="s">
        <v>26</v>
      </c>
      <c r="G34" s="34" t="s">
        <v>26</v>
      </c>
      <c r="H34" s="34" t="s">
        <v>26</v>
      </c>
      <c r="I34" s="34" t="s">
        <v>26</v>
      </c>
      <c r="J34" s="34" t="s">
        <v>26</v>
      </c>
      <c r="K34" s="34" t="s">
        <v>26</v>
      </c>
      <c r="L34" s="34" t="s">
        <v>26</v>
      </c>
      <c r="M34" s="34" t="s">
        <v>26</v>
      </c>
      <c r="N34" s="34" t="s">
        <v>26</v>
      </c>
      <c r="O34" s="34" t="s">
        <v>26</v>
      </c>
      <c r="P34" s="35" t="s">
        <v>26</v>
      </c>
      <c r="Q34" s="16"/>
    </row>
    <row r="35" spans="1:17">
      <c r="Q35" s="16"/>
    </row>
    <row r="36" spans="1:17">
      <c r="Q36" s="16"/>
    </row>
    <row r="37" spans="1:17">
      <c r="Q37" s="16"/>
    </row>
    <row r="38" spans="1:17">
      <c r="Q38" s="16"/>
    </row>
    <row r="39" spans="1:17">
      <c r="Q39" s="16"/>
    </row>
    <row r="40" spans="1:17">
      <c r="Q40" s="16"/>
    </row>
    <row r="41" spans="1:17">
      <c r="Q41" s="16"/>
    </row>
    <row r="42" spans="1:17">
      <c r="Q42" s="16"/>
    </row>
    <row r="43" spans="1:17">
      <c r="Q43" s="16"/>
    </row>
    <row r="44" spans="1:17">
      <c r="Q44" s="16"/>
    </row>
    <row r="45" spans="1:17">
      <c r="Q45" s="16"/>
    </row>
    <row r="46" spans="1:17">
      <c r="Q46" s="16"/>
    </row>
    <row r="47" spans="1:17">
      <c r="Q47" s="16"/>
    </row>
    <row r="48" spans="1:17">
      <c r="Q48" s="16"/>
    </row>
    <row r="49" spans="17:17">
      <c r="Q49" s="16"/>
    </row>
    <row r="50" spans="17:17">
      <c r="Q50" s="16"/>
    </row>
    <row r="51" spans="17:17">
      <c r="Q51" s="16"/>
    </row>
    <row r="52" spans="17:17">
      <c r="Q52" s="16"/>
    </row>
    <row r="53" spans="17:17">
      <c r="Q53" s="16"/>
    </row>
    <row r="54" spans="17:17">
      <c r="Q54" s="16"/>
    </row>
    <row r="55" spans="17:17">
      <c r="Q55" s="16"/>
    </row>
    <row r="56" spans="17:17">
      <c r="Q56" s="16"/>
    </row>
    <row r="57" spans="17:17">
      <c r="Q57" s="16"/>
    </row>
    <row r="58" spans="17:17">
      <c r="Q58" s="16"/>
    </row>
    <row r="59" spans="17:17">
      <c r="Q59" s="16"/>
    </row>
    <row r="60" spans="17:17">
      <c r="Q60" s="16"/>
    </row>
    <row r="61" spans="17:17">
      <c r="Q61" s="16"/>
    </row>
    <row r="62" spans="17:17">
      <c r="Q62" s="16"/>
    </row>
    <row r="63" spans="17:17">
      <c r="Q63" s="16"/>
    </row>
    <row r="64" spans="17:17">
      <c r="Q64" s="16"/>
    </row>
  </sheetData>
  <mergeCells count="27">
    <mergeCell ref="A28:P28"/>
    <mergeCell ref="B30:P32"/>
    <mergeCell ref="B34:P34"/>
    <mergeCell ref="B13:P14"/>
    <mergeCell ref="A16:J16"/>
    <mergeCell ref="L16:P16"/>
    <mergeCell ref="B18:J26"/>
    <mergeCell ref="L18:P19"/>
    <mergeCell ref="L20:P20"/>
    <mergeCell ref="L21:P22"/>
    <mergeCell ref="L23:P23"/>
    <mergeCell ref="L24:P24"/>
    <mergeCell ref="L25:P25"/>
    <mergeCell ref="L26:P26"/>
    <mergeCell ref="B7:D7"/>
    <mergeCell ref="F7:H7"/>
    <mergeCell ref="J7:L7"/>
    <mergeCell ref="N7:P7"/>
    <mergeCell ref="B10:D10"/>
    <mergeCell ref="F10:H10"/>
    <mergeCell ref="J10:L10"/>
    <mergeCell ref="N10:P10"/>
    <mergeCell ref="A1:P2"/>
    <mergeCell ref="B4:D4"/>
    <mergeCell ref="F4:J4"/>
    <mergeCell ref="L4:P4"/>
    <mergeCell ref="A6:P6"/>
  </mergeCells>
  <phoneticPr fontId="20" type="noConversion"/>
  <dataValidations count="2">
    <dataValidation type="list" sqref="B4" xr:uid="{00000000-0002-0000-0000-000000000000}">
      <formula1>"接龙导入,议程模板,手工编辑"</formula1>
    </dataValidation>
    <dataValidation type="list" sqref="F4" xr:uid="{00000000-0002-0000-0000-000001000000}">
      <formula1>$Q$2:$Q$64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3"/>
  <sheetViews>
    <sheetView showGridLines="0" workbookViewId="0"/>
  </sheetViews>
  <sheetFormatPr defaultRowHeight="13.8"/>
  <cols>
    <col min="1" max="1" width="5.69921875" customWidth="1"/>
    <col min="2" max="2" width="14.5" customWidth="1"/>
    <col min="3" max="3" width="7.69921875" customWidth="1"/>
    <col min="4" max="4" width="14.69921875" customWidth="1"/>
    <col min="5" max="5" width="9" customWidth="1"/>
    <col min="6" max="6" width="10.19921875" customWidth="1"/>
    <col min="7" max="7" width="22.5" customWidth="1"/>
    <col min="8" max="8" width="27.5" customWidth="1"/>
    <col min="9" max="9" width="10.19921875" customWidth="1"/>
    <col min="10" max="10" width="10.5" customWidth="1"/>
    <col min="11" max="11" width="14.69921875" customWidth="1"/>
    <col min="12" max="12" width="22.5" customWidth="1"/>
    <col min="13" max="13" width="27.5" customWidth="1"/>
    <col min="14" max="14" width="10.19921875" customWidth="1"/>
    <col min="15" max="15" width="11.5" customWidth="1"/>
    <col min="16" max="16" width="14.69921875" customWidth="1"/>
    <col min="17" max="17" width="23.69921875" customWidth="1"/>
    <col min="18" max="18" width="10.5" customWidth="1"/>
    <col min="19" max="19" width="0.19921875" customWidth="1"/>
  </cols>
  <sheetData>
    <row r="1" spans="1:19">
      <c r="A1" s="82" t="s">
        <v>27</v>
      </c>
      <c r="B1" s="82" t="s">
        <v>27</v>
      </c>
      <c r="C1" s="82" t="s">
        <v>27</v>
      </c>
      <c r="D1" s="82" t="s">
        <v>27</v>
      </c>
      <c r="E1" s="82" t="s">
        <v>27</v>
      </c>
      <c r="F1" s="82" t="s">
        <v>27</v>
      </c>
      <c r="G1" s="82" t="s">
        <v>27</v>
      </c>
      <c r="H1" s="82" t="s">
        <v>27</v>
      </c>
      <c r="I1" s="82" t="s">
        <v>27</v>
      </c>
      <c r="J1" s="82" t="s">
        <v>27</v>
      </c>
      <c r="K1" s="82" t="s">
        <v>27</v>
      </c>
      <c r="L1" s="82" t="s">
        <v>27</v>
      </c>
      <c r="M1" s="82" t="s">
        <v>27</v>
      </c>
      <c r="N1" s="82" t="s">
        <v>27</v>
      </c>
      <c r="O1" s="82" t="s">
        <v>27</v>
      </c>
      <c r="P1" s="82" t="s">
        <v>27</v>
      </c>
      <c r="Q1" s="82" t="s">
        <v>27</v>
      </c>
      <c r="R1" s="83" t="s">
        <v>28</v>
      </c>
    </row>
    <row r="2" spans="1:19">
      <c r="A2" s="82" t="s">
        <v>27</v>
      </c>
      <c r="B2" s="82" t="s">
        <v>27</v>
      </c>
      <c r="C2" s="82" t="s">
        <v>27</v>
      </c>
      <c r="D2" s="82" t="s">
        <v>27</v>
      </c>
      <c r="E2" s="82" t="s">
        <v>27</v>
      </c>
      <c r="F2" s="82" t="s">
        <v>27</v>
      </c>
      <c r="G2" s="82" t="s">
        <v>27</v>
      </c>
      <c r="H2" s="82" t="s">
        <v>27</v>
      </c>
      <c r="I2" s="82" t="s">
        <v>27</v>
      </c>
      <c r="J2" s="82" t="s">
        <v>27</v>
      </c>
      <c r="K2" s="82" t="s">
        <v>27</v>
      </c>
      <c r="L2" s="82" t="s">
        <v>27</v>
      </c>
      <c r="M2" s="82" t="s">
        <v>27</v>
      </c>
      <c r="N2" s="82" t="s">
        <v>27</v>
      </c>
      <c r="O2" s="82" t="s">
        <v>27</v>
      </c>
      <c r="P2" s="82" t="s">
        <v>27</v>
      </c>
      <c r="Q2" s="82" t="s">
        <v>27</v>
      </c>
      <c r="R2" s="83"/>
    </row>
    <row r="3" spans="1:19" ht="31.5" customHeight="1">
      <c r="A3" s="13" t="s">
        <v>29</v>
      </c>
      <c r="B3" s="13" t="s">
        <v>30</v>
      </c>
      <c r="C3" s="13" t="s">
        <v>31</v>
      </c>
      <c r="D3" s="13" t="s">
        <v>32</v>
      </c>
      <c r="E3" s="13" t="s">
        <v>33</v>
      </c>
      <c r="F3" s="13" t="s">
        <v>34</v>
      </c>
      <c r="G3" s="13" t="s">
        <v>35</v>
      </c>
      <c r="H3" s="13" t="s">
        <v>36</v>
      </c>
      <c r="I3" s="13" t="s">
        <v>37</v>
      </c>
      <c r="J3" s="13" t="s">
        <v>38</v>
      </c>
      <c r="K3" s="13" t="s">
        <v>39</v>
      </c>
      <c r="L3" s="13" t="s">
        <v>40</v>
      </c>
      <c r="M3" s="13" t="s">
        <v>41</v>
      </c>
      <c r="N3" s="13" t="s">
        <v>42</v>
      </c>
      <c r="O3" s="13" t="s">
        <v>43</v>
      </c>
      <c r="P3" s="13" t="s">
        <v>44</v>
      </c>
      <c r="Q3" s="13" t="s">
        <v>45</v>
      </c>
      <c r="R3" s="13" t="s">
        <v>46</v>
      </c>
      <c r="S3" t="s">
        <v>47</v>
      </c>
    </row>
    <row r="4" spans="1:19" ht="27" customHeight="1">
      <c r="A4" s="5">
        <v>1</v>
      </c>
      <c r="B4" s="5" t="str" cm="1">
        <f t="array" ref="B4">IF(操作台!$B$4="议程模板",_xlfn.LET(_xlpm.v,IFERROR(INDEX(_xlfn._xlws.FILTER(模板库!$D$2:$D$1000,(模板库!$B$2:$B$1000=操作台!$F$4)*(模板库!$E$2:$E$1000="item")),1),""),IF(OR(_xlpm.v="",_xlpm.v=0),"",_xlpm.v)),IF(操作台!$B$4="接龙导入",IFERROR(INDEX(计算区!$F$5:$F$25,1),""),IF(COUNTA($L4:$P4)&gt;0,"manual-"&amp;TEXT($A4,"00"),"")))</f>
        <v>i-guest-checkin</v>
      </c>
      <c r="C4" s="5" cm="1">
        <f t="array" ref="C4">IF(操作台!$B$4="议程模板",_xlfn.LET(_xlpm.v,IFERROR(INDEX(_xlfn._xlws.FILTER(模板库!$F$2:$F$1000,(模板库!$B$2:$B$1000=操作台!$F$4)*(模板库!$E$2:$E$1000="item")),1),""),IF(OR(_xlpm.v="",_xlpm.v=0),"",_xlpm.v)),IF(操作台!$B$4="接龙导入",IFERROR(INDEX(计算区!$G$5:$G$25,1),""),IF(COUNTA($L4:$P4)&gt;0,1,"")))</f>
        <v>1</v>
      </c>
      <c r="D4" s="5" t="str" cm="1">
        <f t="array" ref="D4">IF(操作台!$B$4="议程模板",_xlfn.LET(_xlpm.v,IFERROR(INDEX(_xlfn._xlws.FILTER(模板库!$G$2:$G$1000,(模板库!$B$2:$B$1000=操作台!$F$4)*(模板库!$E$2:$E$1000="item")),1),""),IF(OR(_xlpm.v="",_xlpm.v=0),"",_xlpm.v)),IF(操作台!$B$4="接龙导入",IFERROR(INDEX(计算区!$H$5:$H$25,1),""),IF(COUNTA($L4:$P4)&gt;0,"手工议程","")))</f>
        <v>开场环节</v>
      </c>
      <c r="E4" s="5" t="str" cm="1">
        <f t="array" ref="E4">IF(操作台!$B$4="议程模板",_xlfn.LET(_xlpm.v,IFERROR(INDEX(_xlfn._xlws.FILTER(模板库!$M$2:$M$1000,(模板库!$B$2:$B$1000=操作台!$F$4)*(模板库!$E$2:$E$1000="item")),1),""),IF(OR(_xlpm.v="",_xlpm.v=0),"",_xlpm.v)),IF(操作台!$B$4="接龙导入",IFERROR(INDEX(计算区!$N$5:$N$25,1),""),IF(COUNTA($L4:$P4)&gt;0,"plain","")))</f>
        <v>plain</v>
      </c>
      <c r="F4" s="27">
        <f>IF($B4="","",IF(操作台!$B$4="接龙导入",IF(计算区!$E$7&lt;&gt;"",计算区!$E$7,操作台!$F$10),操作台!$F$10))</f>
        <v>0.80555555555555558</v>
      </c>
      <c r="G4" s="5" t="str" cm="1">
        <f t="array" ref="G4">IF(操作台!$B$4="议程模板",_xlfn.LET(_xlpm.v,IFERROR(INDEX(_xlfn._xlws.FILTER(模板库!$H$2:$H$1000,(模板库!$B$2:$B$1000=操作台!$F$4)*(模板库!$E$2:$E$1000="item")),1),""),IF(OR(_xlpm.v="",_xlpm.v=0),"",_xlpm.v)),IF(操作台!$B$4="接龙导入",IFERROR(INDEX(计算区!$I$5:$I$25,1),""),""))</f>
        <v>来宾入会，相互认识与交流</v>
      </c>
      <c r="H4" s="5" t="str" cm="1">
        <f t="array" ref="H4">IF(操作台!$B$4="议程模板",_xlfn.LET(_xlpm.v,IFERROR(INDEX(_xlfn._xlws.FILTER(模板库!$I$2:$I$1000,(模板库!$B$2:$B$1000=操作台!$F$4)*(模板库!$E$2:$E$1000="item")),1),""),IF(OR(_xlpm.v="",_xlpm.v=0),"",_xlpm.v)),IF(操作台!$B$4="接龙导入","",""))</f>
        <v/>
      </c>
      <c r="I4" s="5" t="str" cm="1">
        <f t="array" ref="I4">IF(操作台!$B$4="议程模板",_xlfn.LET(_xlpm.v,IFERROR(INDEX(_xlfn._xlws.FILTER(模板库!$J$2:$J$1000,(模板库!$B$2:$B$1000=操作台!$F$4)*(模板库!$E$2:$E$1000="item")),1),""),IF(OR(_xlpm.v="",_xlpm.v=0),"",_xlpm.v)),IF(操作台!$B$4="接龙导入",IFERROR(INDEX(计算区!$J$5:$J$25,1),""),""))</f>
        <v>5</v>
      </c>
      <c r="J4" s="5" cm="1">
        <f t="array" ref="J4">IF(操作台!$B$4="议程模板",_xlfn.LET(_xlpm.v,IFERROR(INDEX(_xlfn._xlws.FILTER(模板库!$K$2:$K$1000,(模板库!$B$2:$B$1000=操作台!$F$4)*(模板库!$E$2:$E$1000="item")),1),""),IF(OR(_xlpm.v="",_xlpm.v=0),"",_xlpm.v)),IF(操作台!$B$4="接龙导入",IFERROR(INDEX(计算区!$K$5:$K$25,1),""),""))</f>
        <v>5</v>
      </c>
      <c r="K4" s="5" t="str" cm="1">
        <f t="array" ref="K4">IF(操作台!$B$4="议程模板",_xlfn.LET(_xlpm.v,IFERROR(INDEX(_xlfn._xlws.FILTER(模板库!$L$2:$L$1000,(模板库!$B$2:$B$1000=操作台!$F$4)*(模板库!$E$2:$E$1000="item")),1),""),IF(OR(_xlpm.v="",_xlpm.v=0),"",_xlpm.v)),IF(操作台!$B$4="接龙导入",IFERROR(INDEX(计算区!$M$5:$M$25,1),""),""))</f>
        <v>全体会员</v>
      </c>
      <c r="L4" s="17"/>
      <c r="M4" s="18"/>
      <c r="N4" s="18"/>
      <c r="O4" s="18"/>
      <c r="P4" s="19"/>
      <c r="Q4" s="26" t="str">
        <f>IF($B4="","",_xlfn.LET(_xlpm.m,IF($O4&lt;&gt;"",$O4,$J4),_xlpm.p,IF($P4&lt;&gt;"",$P4,IF($K4="","待定",$K4)),_xlpm.title,IF($L4&lt;&gt;"",$L4,$G4),_xlfn.TEXTJOIN("；",TRUE,IF(_xlpm.title="","缺少标题",""),IF(_xlpm.m="","缺少排程分钟",IF(NOT(ISNUMBER(_xlpm.m)),"排程分钟无效","")),IF(_xlpm.p="待定","负责人待定",""),IF(AND($A4&gt;1,$F4=""),"前序排程中断",""))))</f>
        <v/>
      </c>
      <c r="R4" s="28">
        <f t="shared" ref="R4:R35" si="0">IF($B4="","",IF(OR($F4="",IF($O4&lt;&gt;"",NOT(ISNUMBER($O4)),NOT(ISNUMBER($J4)))),"",$F4+IF($O4&lt;&gt;"",$O4,$J4)/1440))</f>
        <v>0.80902777777777779</v>
      </c>
      <c r="S4">
        <f t="shared" ref="S4:S35" si="1">IF($B4="",0,1)</f>
        <v>1</v>
      </c>
    </row>
    <row r="5" spans="1:19" ht="27" customHeight="1">
      <c r="A5" s="5">
        <v>2</v>
      </c>
      <c r="B5" s="5" t="str" cm="1">
        <f t="array" ref="B5">IF(操作台!$B$4="议程模板",_xlfn.LET(_xlpm.v,IFERROR(INDEX(_xlfn._xlws.FILTER(模板库!$D$2:$D$1000,(模板库!$B$2:$B$1000=操作台!$F$4)*(模板库!$E$2:$E$1000="item")),2),""),IF(OR(_xlpm.v="",_xlpm.v=0),"",_xlpm.v)),IF(操作台!$B$4="接龙导入",IFERROR(INDEX(计算区!$F$5:$F$25,2),""),IF(COUNTA($L5:$P5)&gt;0,"manual-"&amp;TEXT($A5,"00"),"")))</f>
        <v>i-warmup</v>
      </c>
      <c r="C5" s="5" cm="1">
        <f t="array" ref="C5">IF(操作台!$B$4="议程模板",_xlfn.LET(_xlpm.v,IFERROR(INDEX(_xlfn._xlws.FILTER(模板库!$F$2:$F$1000,(模板库!$B$2:$B$1000=操作台!$F$4)*(模板库!$E$2:$E$1000="item")),2),""),IF(OR(_xlpm.v="",_xlpm.v=0),"",_xlpm.v)),IF(操作台!$B$4="接龙导入",IFERROR(INDEX(计算区!$G$5:$G$25,2),""),IF(COUNTA($L5:$P5)&gt;0,1,"")))</f>
        <v>1</v>
      </c>
      <c r="D5" s="5" t="str" cm="1">
        <f t="array" ref="D5">IF(操作台!$B$4="议程模板",_xlfn.LET(_xlpm.v,IFERROR(INDEX(_xlfn._xlws.FILTER(模板库!$G$2:$G$1000,(模板库!$B$2:$B$1000=操作台!$F$4)*(模板库!$E$2:$E$1000="item")),2),""),IF(OR(_xlpm.v="",_xlpm.v=0),"",_xlpm.v)),IF(操作台!$B$4="接龙导入",IFERROR(INDEX(计算区!$H$5:$H$25,2),""),IF(COUNTA($L5:$P5)&gt;0,"手工议程","")))</f>
        <v>开场环节</v>
      </c>
      <c r="E5" s="5" t="str" cm="1">
        <f t="array" ref="E5">IF(操作台!$B$4="议程模板",_xlfn.LET(_xlpm.v,IFERROR(INDEX(_xlfn._xlws.FILTER(模板库!$M$2:$M$1000,(模板库!$B$2:$B$1000=操作台!$F$4)*(模板库!$E$2:$E$1000="item")),2),""),IF(OR(_xlpm.v="",_xlpm.v=0),"",_xlpm.v)),IF(操作台!$B$4="接龙导入",IFERROR(INDEX(计算区!$N$5:$N$25,2),""),IF(COUNTA($L5:$P5)&gt;0,"plain","")))</f>
        <v>plain</v>
      </c>
      <c r="F5" s="27">
        <f>IF($B5="","",IF(COUNTIF($Q$4:$Q4,"*排程*")&gt;0,"",IF(COUNTIF($B$4:$B4,"&lt;&gt;")=0,IF(操作台!$B$4="接龙导入",IF(计算区!$E$7&lt;&gt;"",计算区!$E$7,操作台!$F$10),操作台!$F$10),MAX($R$4:$R4))))</f>
        <v>0.80902777777777779</v>
      </c>
      <c r="G5" s="5" t="str" cm="1">
        <f t="array" ref="G5">IF(操作台!$B$4="议程模板",_xlfn.LET(_xlpm.v,IFERROR(INDEX(_xlfn._xlws.FILTER(模板库!$H$2:$H$1000,(模板库!$B$2:$B$1000=操作台!$F$4)*(模板库!$E$2:$E$1000="item")),2),""),IF(OR(_xlpm.v="",_xlpm.v=0),"",_xlpm.v)),IF(操作台!$B$4="接龙导入",IFERROR(INDEX(计算区!$I$5:$I$25,2),""),""))</f>
        <v>暖场互动</v>
      </c>
      <c r="H5" s="5" t="str" cm="1">
        <f t="array" ref="H5">IF(操作台!$B$4="议程模板",_xlfn.LET(_xlpm.v,IFERROR(INDEX(_xlfn._xlws.FILTER(模板库!$I$2:$I$1000,(模板库!$B$2:$B$1000=操作台!$F$4)*(模板库!$E$2:$E$1000="item")),2),""),IF(OR(_xlpm.v="",_xlpm.v=0),"",_xlpm.v)),IF(操作台!$B$4="接龙导入","",""))</f>
        <v/>
      </c>
      <c r="I5" s="5" t="str" cm="1">
        <f t="array" ref="I5">IF(操作台!$B$4="议程模板",_xlfn.LET(_xlpm.v,IFERROR(INDEX(_xlfn._xlws.FILTER(模板库!$J$2:$J$1000,(模板库!$B$2:$B$1000=操作台!$F$4)*(模板库!$E$2:$E$1000="item")),2),""),IF(OR(_xlpm.v="",_xlpm.v=0),"",_xlpm.v)),IF(操作台!$B$4="接龙导入",IFERROR(INDEX(计算区!$J$5:$J$25,2),""),""))</f>
        <v>5</v>
      </c>
      <c r="J5" s="5" cm="1">
        <f t="array" ref="J5">IF(操作台!$B$4="议程模板",_xlfn.LET(_xlpm.v,IFERROR(INDEX(_xlfn._xlws.FILTER(模板库!$K$2:$K$1000,(模板库!$B$2:$B$1000=操作台!$F$4)*(模板库!$E$2:$E$1000="item")),2),""),IF(OR(_xlpm.v="",_xlpm.v=0),"",_xlpm.v)),IF(操作台!$B$4="接龙导入",IFERROR(INDEX(计算区!$K$5:$K$25,2),""),""))</f>
        <v>5</v>
      </c>
      <c r="K5" s="5" t="str" cm="1">
        <f t="array" ref="K5">IF(操作台!$B$4="议程模板",_xlfn.LET(_xlpm.v,IFERROR(INDEX(_xlfn._xlws.FILTER(模板库!$L$2:$L$1000,(模板库!$B$2:$B$1000=操作台!$F$4)*(模板库!$E$2:$E$1000="item")),2),""),IF(OR(_xlpm.v="",_xlpm.v=0),"",_xlpm.v)),IF(操作台!$B$4="接龙导入",IFERROR(INDEX(计算区!$M$5:$M$25,2),""),""))</f>
        <v>全体会员</v>
      </c>
      <c r="L5" s="23"/>
      <c r="M5" s="24"/>
      <c r="N5" s="24"/>
      <c r="O5" s="24"/>
      <c r="P5" s="25"/>
      <c r="Q5" s="26" t="str">
        <f>IF($B5="","",_xlfn.LET(_xlpm.m,IF($O5&lt;&gt;"",$O5,$J5),_xlpm.p,IF($P5&lt;&gt;"",$P5,IF($K5="","待定",$K5)),_xlpm.title,IF($L5&lt;&gt;"",$L5,$G5),_xlfn.TEXTJOIN("；",TRUE,IF(_xlpm.title="","缺少标题",""),IF(_xlpm.m="","缺少排程分钟",IF(NOT(ISNUMBER(_xlpm.m)),"排程分钟无效","")),IF(_xlpm.p="待定","负责人待定",""),IF(AND($A5&gt;1,$F5=""),"前序排程中断",""))))</f>
        <v/>
      </c>
      <c r="R5" s="28">
        <f t="shared" si="0"/>
        <v>0.8125</v>
      </c>
      <c r="S5">
        <f t="shared" si="1"/>
        <v>1</v>
      </c>
    </row>
    <row r="6" spans="1:19" ht="27" customHeight="1">
      <c r="A6" s="5">
        <v>3</v>
      </c>
      <c r="B6" s="5" t="str" cm="1">
        <f t="array" ref="B6">IF(操作台!$B$4="议程模板",_xlfn.LET(_xlpm.v,IFERROR(INDEX(_xlfn._xlws.FILTER(模板库!$D$2:$D$1000,(模板库!$B$2:$B$1000=操作台!$F$4)*(模板库!$E$2:$E$1000="item")),3),""),IF(OR(_xlpm.v="",_xlpm.v=0),"",_xlpm.v)),IF(操作台!$B$4="接龙导入",IFERROR(INDEX(计算区!$F$5:$F$25,3),""),IF(COUNTA($L6:$P6)&gt;0,"manual-"&amp;TEXT($A6,"00"),"")))</f>
        <v>i-rules</v>
      </c>
      <c r="C6" s="5" cm="1">
        <f t="array" ref="C6">IF(操作台!$B$4="议程模板",_xlfn.LET(_xlpm.v,IFERROR(INDEX(_xlfn._xlws.FILTER(模板库!$F$2:$F$1000,(模板库!$B$2:$B$1000=操作台!$F$4)*(模板库!$E$2:$E$1000="item")),3),""),IF(OR(_xlpm.v="",_xlpm.v=0),"",_xlpm.v)),IF(操作台!$B$4="接龙导入",IFERROR(INDEX(计算区!$G$5:$G$25,3),""),IF(COUNTA($L6:$P6)&gt;0,1,"")))</f>
        <v>1</v>
      </c>
      <c r="D6" s="5" t="str" cm="1">
        <f t="array" ref="D6">IF(操作台!$B$4="议程模板",_xlfn.LET(_xlpm.v,IFERROR(INDEX(_xlfn._xlws.FILTER(模板库!$G$2:$G$1000,(模板库!$B$2:$B$1000=操作台!$F$4)*(模板库!$E$2:$E$1000="item")),3),""),IF(OR(_xlpm.v="",_xlpm.v=0),"",_xlpm.v)),IF(操作台!$B$4="接龙导入",IFERROR(INDEX(计算区!$H$5:$H$25,3),""),IF(COUNTA($L6:$P6)&gt;0,"手工议程","")))</f>
        <v>开场环节</v>
      </c>
      <c r="E6" s="5" t="str" cm="1">
        <f t="array" ref="E6">IF(操作台!$B$4="议程模板",_xlfn.LET(_xlpm.v,IFERROR(INDEX(_xlfn._xlws.FILTER(模板库!$M$2:$M$1000,(模板库!$B$2:$B$1000=操作台!$F$4)*(模板库!$E$2:$E$1000="item")),3),""),IF(OR(_xlpm.v="",_xlpm.v=0),"",_xlpm.v)),IF(操作台!$B$4="接龙导入",IFERROR(INDEX(计算区!$N$5:$N$25,3),""),IF(COUNTA($L6:$P6)&gt;0,"plain","")))</f>
        <v>plain</v>
      </c>
      <c r="F6" s="27">
        <f>IF($B6="","",IF(COUNTIF($Q$4:$Q5,"*排程*")&gt;0,"",IF(COUNTIF($B$4:$B5,"&lt;&gt;")=0,IF(操作台!$B$4="接龙导入",IF(计算区!$E$7&lt;&gt;"",计算区!$E$7,操作台!$F$10),操作台!$F$10),MAX($R$4:$R5))))</f>
        <v>0.8125</v>
      </c>
      <c r="G6" s="5" t="str" cm="1">
        <f t="array" ref="G6">IF(操作台!$B$4="议程模板",_xlfn.LET(_xlpm.v,IFERROR(INDEX(_xlfn._xlws.FILTER(模板库!$H$2:$H$1000,(模板库!$B$2:$B$1000=操作台!$F$4)*(模板库!$E$2:$E$1000="item")),3),""),IF(OR(_xlpm.v="",_xlpm.v=0),"",_xlpm.v)),IF(操作台!$B$4="接龙导入",IFERROR(INDEX(计算区!$I$5:$I$25,3),""),""))</f>
        <v>事务官宣布会议规则</v>
      </c>
      <c r="H6" s="5" t="str" cm="1">
        <f t="array" ref="H6">IF(操作台!$B$4="议程模板",_xlfn.LET(_xlpm.v,IFERROR(INDEX(_xlfn._xlws.FILTER(模板库!$I$2:$I$1000,(模板库!$B$2:$B$1000=操作台!$F$4)*(模板库!$E$2:$E$1000="item")),3),""),IF(OR(_xlpm.v="",_xlpm.v=0),"",_xlpm.v)),IF(操作台!$B$4="接龙导入","",""))</f>
        <v/>
      </c>
      <c r="I6" s="5" t="str" cm="1">
        <f t="array" ref="I6">IF(操作台!$B$4="议程模板",_xlfn.LET(_xlpm.v,IFERROR(INDEX(_xlfn._xlws.FILTER(模板库!$J$2:$J$1000,(模板库!$B$2:$B$1000=操作台!$F$4)*(模板库!$E$2:$E$1000="item")),3),""),IF(OR(_xlpm.v="",_xlpm.v=0),"",_xlpm.v)),IF(操作台!$B$4="接龙导入",IFERROR(INDEX(计算区!$J$5:$J$25,3),""),""))</f>
        <v>1</v>
      </c>
      <c r="J6" s="5" cm="1">
        <f t="array" ref="J6">IF(操作台!$B$4="议程模板",_xlfn.LET(_xlpm.v,IFERROR(INDEX(_xlfn._xlws.FILTER(模板库!$K$2:$K$1000,(模板库!$B$2:$B$1000=操作台!$F$4)*(模板库!$E$2:$E$1000="item")),3),""),IF(OR(_xlpm.v="",_xlpm.v=0),"",_xlpm.v)),IF(操作台!$B$4="接龙导入",IFERROR(INDEX(计算区!$K$5:$K$25,3),""),""))</f>
        <v>1</v>
      </c>
      <c r="K6" s="5" t="str" cm="1">
        <f t="array" ref="K6">IF(操作台!$B$4="议程模板",_xlfn.LET(_xlpm.v,IFERROR(INDEX(_xlfn._xlws.FILTER(模板库!$L$2:$L$1000,(模板库!$B$2:$B$1000=操作台!$F$4)*(模板库!$E$2:$E$1000="item")),3),""),IF(OR(_xlpm.v="",_xlpm.v=0),"",_xlpm.v)),IF(操作台!$B$4="接龙导入",IFERROR(INDEX(计算区!$M$5:$M$25,3),""),""))</f>
        <v/>
      </c>
      <c r="L6" s="23"/>
      <c r="M6" s="24"/>
      <c r="N6" s="24"/>
      <c r="O6" s="24"/>
      <c r="P6" s="25"/>
      <c r="Q6" s="26" t="str">
        <f>IF($B6="","",_xlfn.LET(_xlpm.m,IF($O6&lt;&gt;"",$O6,$J6),_xlpm.p,IF($P6&lt;&gt;"",$P6,IF($K6="","待定",$K6)),_xlpm.title,IF($L6&lt;&gt;"",$L6,$G6),_xlfn.TEXTJOIN("；",TRUE,IF(_xlpm.title="","缺少标题",""),IF(_xlpm.m="","缺少排程分钟",IF(NOT(ISNUMBER(_xlpm.m)),"排程分钟无效","")),IF(_xlpm.p="待定","负责人待定",""),IF(AND($A6&gt;1,$F6=""),"前序排程中断",""))))</f>
        <v>负责人待定</v>
      </c>
      <c r="R6" s="28">
        <f t="shared" si="0"/>
        <v>0.81319444444444444</v>
      </c>
      <c r="S6">
        <f t="shared" si="1"/>
        <v>1</v>
      </c>
    </row>
    <row r="7" spans="1:19" ht="27" customHeight="1">
      <c r="A7" s="5">
        <v>4</v>
      </c>
      <c r="B7" s="5" t="str" cm="1">
        <f t="array" ref="B7">IF(操作台!$B$4="议程模板",_xlfn.LET(_xlpm.v,IFERROR(INDEX(_xlfn._xlws.FILTER(模板库!$D$2:$D$1000,(模板库!$B$2:$B$1000=操作台!$F$4)*(模板库!$E$2:$E$1000="item")),4),""),IF(OR(_xlpm.v="",_xlpm.v=0),"",_xlpm.v)),IF(操作台!$B$4="接龙导入",IFERROR(INDEX(计算区!$F$5:$F$25,4),""),IF(COUNTA($L7:$P7)&gt;0,"manual-"&amp;TEXT($A7,"00"),"")))</f>
        <v>i-president</v>
      </c>
      <c r="C7" s="5" cm="1">
        <f t="array" ref="C7">IF(操作台!$B$4="议程模板",_xlfn.LET(_xlpm.v,IFERROR(INDEX(_xlfn._xlws.FILTER(模板库!$F$2:$F$1000,(模板库!$B$2:$B$1000=操作台!$F$4)*(模板库!$E$2:$E$1000="item")),4),""),IF(OR(_xlpm.v="",_xlpm.v=0),"",_xlpm.v)),IF(操作台!$B$4="接龙导入",IFERROR(INDEX(计算区!$G$5:$G$25,4),""),IF(COUNTA($L7:$P7)&gt;0,1,"")))</f>
        <v>1</v>
      </c>
      <c r="D7" s="5" t="str" cm="1">
        <f t="array" ref="D7">IF(操作台!$B$4="议程模板",_xlfn.LET(_xlpm.v,IFERROR(INDEX(_xlfn._xlws.FILTER(模板库!$G$2:$G$1000,(模板库!$B$2:$B$1000=操作台!$F$4)*(模板库!$E$2:$E$1000="item")),4),""),IF(OR(_xlpm.v="",_xlpm.v=0),"",_xlpm.v)),IF(操作台!$B$4="接龙导入",IFERROR(INDEX(计算区!$H$5:$H$25,4),""),IF(COUNTA($L7:$P7)&gt;0,"手工议程","")))</f>
        <v>开场环节</v>
      </c>
      <c r="E7" s="5" t="str" cm="1">
        <f t="array" ref="E7">IF(操作台!$B$4="议程模板",_xlfn.LET(_xlpm.v,IFERROR(INDEX(_xlfn._xlws.FILTER(模板库!$M$2:$M$1000,(模板库!$B$2:$B$1000=操作台!$F$4)*(模板库!$E$2:$E$1000="item")),4),""),IF(OR(_xlpm.v="",_xlpm.v=0),"",_xlpm.v)),IF(操作台!$B$4="接龙导入",IFERROR(INDEX(计算区!$N$5:$N$25,4),""),IF(COUNTA($L7:$P7)&gt;0,"plain","")))</f>
        <v>plain</v>
      </c>
      <c r="F7" s="27">
        <f>IF($B7="","",IF(COUNTIF($Q$4:$Q6,"*排程*")&gt;0,"",IF(COUNTIF($B$4:$B6,"&lt;&gt;")=0,IF(操作台!$B$4="接龙导入",IF(计算区!$E$7&lt;&gt;"",计算区!$E$7,操作台!$F$10),操作台!$F$10),MAX($R$4:$R6))))</f>
        <v>0.81319444444444444</v>
      </c>
      <c r="G7" s="5" t="str" cm="1">
        <f t="array" ref="G7">IF(操作台!$B$4="议程模板",_xlfn.LET(_xlpm.v,IFERROR(INDEX(_xlfn._xlws.FILTER(模板库!$H$2:$H$1000,(模板库!$B$2:$B$1000=操作台!$F$4)*(模板库!$E$2:$E$1000="item")),4),""),IF(OR(_xlpm.v="",_xlpm.v=0),"",_xlpm.v)),IF(操作台!$B$4="接龙导入",IFERROR(INDEX(计算区!$I$5:$I$25,4),""),""))</f>
        <v>主席致词</v>
      </c>
      <c r="H7" s="5" t="str" cm="1">
        <f t="array" ref="H7">IF(操作台!$B$4="议程模板",_xlfn.LET(_xlpm.v,IFERROR(INDEX(_xlfn._xlws.FILTER(模板库!$I$2:$I$1000,(模板库!$B$2:$B$1000=操作台!$F$4)*(模板库!$E$2:$E$1000="item")),4),""),IF(OR(_xlpm.v="",_xlpm.v=0),"",_xlpm.v)),IF(操作台!$B$4="接龙导入","",""))</f>
        <v/>
      </c>
      <c r="I7" s="5" t="str" cm="1">
        <f t="array" ref="I7">IF(操作台!$B$4="议程模板",_xlfn.LET(_xlpm.v,IFERROR(INDEX(_xlfn._xlws.FILTER(模板库!$J$2:$J$1000,(模板库!$B$2:$B$1000=操作台!$F$4)*(模板库!$E$2:$E$1000="item")),4),""),IF(OR(_xlpm.v="",_xlpm.v=0),"",_xlpm.v)),IF(操作台!$B$4="接龙导入",IFERROR(INDEX(计算区!$J$5:$J$25,4),""),""))</f>
        <v>3</v>
      </c>
      <c r="J7" s="5" cm="1">
        <f t="array" ref="J7">IF(操作台!$B$4="议程模板",_xlfn.LET(_xlpm.v,IFERROR(INDEX(_xlfn._xlws.FILTER(模板库!$K$2:$K$1000,(模板库!$B$2:$B$1000=操作台!$F$4)*(模板库!$E$2:$E$1000="item")),4),""),IF(OR(_xlpm.v="",_xlpm.v=0),"",_xlpm.v)),IF(操作台!$B$4="接龙导入",IFERROR(INDEX(计算区!$K$5:$K$25,4),""),""))</f>
        <v>3</v>
      </c>
      <c r="K7" s="5" t="str" cm="1">
        <f t="array" ref="K7">IF(操作台!$B$4="议程模板",_xlfn.LET(_xlpm.v,IFERROR(INDEX(_xlfn._xlws.FILTER(模板库!$L$2:$L$1000,(模板库!$B$2:$B$1000=操作台!$F$4)*(模板库!$E$2:$E$1000="item")),4),""),IF(OR(_xlpm.v="",_xlpm.v=0),"",_xlpm.v)),IF(操作台!$B$4="接龙导入",IFERROR(INDEX(计算区!$M$5:$M$25,4),""),""))</f>
        <v/>
      </c>
      <c r="L7" s="23"/>
      <c r="M7" s="24"/>
      <c r="N7" s="24"/>
      <c r="O7" s="24"/>
      <c r="P7" s="25"/>
      <c r="Q7" s="26" t="str">
        <f>IF($B7="","",_xlfn.LET(_xlpm.m,IF($O7&lt;&gt;"",$O7,$J7),_xlpm.p,IF($P7&lt;&gt;"",$P7,IF($K7="","待定",$K7)),_xlpm.title,IF($L7&lt;&gt;"",$L7,$G7),_xlfn.TEXTJOIN("；",TRUE,IF(_xlpm.title="","缺少标题",""),IF(_xlpm.m="","缺少排程分钟",IF(NOT(ISNUMBER(_xlpm.m)),"排程分钟无效","")),IF(_xlpm.p="待定","负责人待定",""),IF(AND($A7&gt;1,$F7=""),"前序排程中断",""))))</f>
        <v>负责人待定</v>
      </c>
      <c r="R7" s="28">
        <f t="shared" si="0"/>
        <v>0.81527777777777777</v>
      </c>
      <c r="S7">
        <f t="shared" si="1"/>
        <v>1</v>
      </c>
    </row>
    <row r="8" spans="1:19" ht="27" customHeight="1">
      <c r="A8" s="5">
        <v>5</v>
      </c>
      <c r="B8" s="5" t="str" cm="1">
        <f t="array" ref="B8">IF(操作台!$B$4="议程模板",_xlfn.LET(_xlpm.v,IFERROR(INDEX(_xlfn._xlws.FILTER(模板库!$D$2:$D$1000,(模板库!$B$2:$B$1000=操作台!$F$4)*(模板库!$E$2:$E$1000="item")),5),""),IF(OR(_xlpm.v="",_xlpm.v=0),"",_xlpm.v)),IF(操作台!$B$4="接龙导入",IFERROR(INDEX(计算区!$F$5:$F$25,5),""),IF(COUNTA($L8:$P8)&gt;0,"manual-"&amp;TEXT($A8,"00"),"")))</f>
        <v>i-host-open</v>
      </c>
      <c r="C8" s="5" cm="1">
        <f t="array" ref="C8">IF(操作台!$B$4="议程模板",_xlfn.LET(_xlpm.v,IFERROR(INDEX(_xlfn._xlws.FILTER(模板库!$F$2:$F$1000,(模板库!$B$2:$B$1000=操作台!$F$4)*(模板库!$E$2:$E$1000="item")),5),""),IF(OR(_xlpm.v="",_xlpm.v=0),"",_xlpm.v)),IF(操作台!$B$4="接龙导入",IFERROR(INDEX(计算区!$G$5:$G$25,5),""),IF(COUNTA($L8:$P8)&gt;0,1,"")))</f>
        <v>1</v>
      </c>
      <c r="D8" s="5" t="str" cm="1">
        <f t="array" ref="D8">IF(操作台!$B$4="议程模板",_xlfn.LET(_xlpm.v,IFERROR(INDEX(_xlfn._xlws.FILTER(模板库!$G$2:$G$1000,(模板库!$B$2:$B$1000=操作台!$F$4)*(模板库!$E$2:$E$1000="item")),5),""),IF(OR(_xlpm.v="",_xlpm.v=0),"",_xlpm.v)),IF(操作台!$B$4="接龙导入",IFERROR(INDEX(计算区!$H$5:$H$25,5),""),IF(COUNTA($L8:$P8)&gt;0,"手工议程","")))</f>
        <v>开场环节</v>
      </c>
      <c r="E8" s="5" t="str" cm="1">
        <f t="array" ref="E8">IF(操作台!$B$4="议程模板",_xlfn.LET(_xlpm.v,IFERROR(INDEX(_xlfn._xlws.FILTER(模板库!$M$2:$M$1000,(模板库!$B$2:$B$1000=操作台!$F$4)*(模板库!$E$2:$E$1000="item")),5),""),IF(OR(_xlpm.v="",_xlpm.v=0),"",_xlpm.v)),IF(操作台!$B$4="接龙导入",IFERROR(INDEX(计算区!$N$5:$N$25,5),""),IF(COUNTA($L8:$P8)&gt;0,"plain","")))</f>
        <v>plain</v>
      </c>
      <c r="F8" s="27">
        <f>IF($B8="","",IF(COUNTIF($Q$4:$Q7,"*排程*")&gt;0,"",IF(COUNTIF($B$4:$B7,"&lt;&gt;")=0,IF(操作台!$B$4="接龙导入",IF(计算区!$E$7&lt;&gt;"",计算区!$E$7,操作台!$F$10),操作台!$F$10),MAX($R$4:$R7))))</f>
        <v>0.81527777777777777</v>
      </c>
      <c r="G8" s="5" t="str" cm="1">
        <f t="array" ref="G8">IF(操作台!$B$4="议程模板",_xlfn.LET(_xlpm.v,IFERROR(INDEX(_xlfn._xlws.FILTER(模板库!$H$2:$H$1000,(模板库!$B$2:$B$1000=操作台!$F$4)*(模板库!$E$2:$E$1000="item")),5),""),IF(OR(_xlpm.v="",_xlpm.v=0),"",_xlpm.v)),IF(操作台!$B$4="接龙导入",IFERROR(INDEX(计算区!$I$5:$I$25,5),""),""))</f>
        <v>总主持开场，介绍会议流程</v>
      </c>
      <c r="H8" s="5" t="str" cm="1">
        <f t="array" ref="H8">IF(操作台!$B$4="议程模板",_xlfn.LET(_xlpm.v,IFERROR(INDEX(_xlfn._xlws.FILTER(模板库!$I$2:$I$1000,(模板库!$B$2:$B$1000=操作台!$F$4)*(模板库!$E$2:$E$1000="item")),5),""),IF(OR(_xlpm.v="",_xlpm.v=0),"",_xlpm.v)),IF(操作台!$B$4="接龙导入","",""))</f>
        <v/>
      </c>
      <c r="I8" s="5" t="str" cm="1">
        <f t="array" ref="I8">IF(操作台!$B$4="议程模板",_xlfn.LET(_xlpm.v,IFERROR(INDEX(_xlfn._xlws.FILTER(模板库!$J$2:$J$1000,(模板库!$B$2:$B$1000=操作台!$F$4)*(模板库!$E$2:$E$1000="item")),5),""),IF(OR(_xlpm.v="",_xlpm.v=0),"",_xlpm.v)),IF(操作台!$B$4="接龙导入",IFERROR(INDEX(计算区!$J$5:$J$25,5),""),""))</f>
        <v>2</v>
      </c>
      <c r="J8" s="5" cm="1">
        <f t="array" ref="J8">IF(操作台!$B$4="议程模板",_xlfn.LET(_xlpm.v,IFERROR(INDEX(_xlfn._xlws.FILTER(模板库!$K$2:$K$1000,(模板库!$B$2:$B$1000=操作台!$F$4)*(模板库!$E$2:$E$1000="item")),5),""),IF(OR(_xlpm.v="",_xlpm.v=0),"",_xlpm.v)),IF(操作台!$B$4="接龙导入",IFERROR(INDEX(计算区!$K$5:$K$25,5),""),""))</f>
        <v>2</v>
      </c>
      <c r="K8" s="5" t="str" cm="1">
        <f t="array" ref="K8">IF(操作台!$B$4="议程模板",_xlfn.LET(_xlpm.v,IFERROR(INDEX(_xlfn._xlws.FILTER(模板库!$L$2:$L$1000,(模板库!$B$2:$B$1000=操作台!$F$4)*(模板库!$E$2:$E$1000="item")),5),""),IF(OR(_xlpm.v="",_xlpm.v=0),"",_xlpm.v)),IF(操作台!$B$4="接龙导入",IFERROR(INDEX(计算区!$M$5:$M$25,5),""),""))</f>
        <v/>
      </c>
      <c r="L8" s="23"/>
      <c r="M8" s="24"/>
      <c r="N8" s="24"/>
      <c r="O8" s="24"/>
      <c r="P8" s="25"/>
      <c r="Q8" s="26" t="str">
        <f>IF($B8="","",_xlfn.LET(_xlpm.m,IF($O8&lt;&gt;"",$O8,$J8),_xlpm.p,IF($P8&lt;&gt;"",$P8,IF($K8="","待定",$K8)),_xlpm.title,IF($L8&lt;&gt;"",$L8,$G8),_xlfn.TEXTJOIN("；",TRUE,IF(_xlpm.title="","缺少标题",""),IF(_xlpm.m="","缺少排程分钟",IF(NOT(ISNUMBER(_xlpm.m)),"排程分钟无效","")),IF(_xlpm.p="待定","负责人待定",""),IF(AND($A8&gt;1,$F8=""),"前序排程中断",""))))</f>
        <v>负责人待定</v>
      </c>
      <c r="R8" s="28">
        <f t="shared" si="0"/>
        <v>0.81666666666666665</v>
      </c>
      <c r="S8">
        <f t="shared" si="1"/>
        <v>1</v>
      </c>
    </row>
    <row r="9" spans="1:19" ht="27" customHeight="1">
      <c r="A9" s="5">
        <v>6</v>
      </c>
      <c r="B9" s="5" t="str" cm="1">
        <f t="array" ref="B9">IF(操作台!$B$4="议程模板",_xlfn.LET(_xlpm.v,IFERROR(INDEX(_xlfn._xlws.FILTER(模板库!$D$2:$D$1000,(模板库!$B$2:$B$1000=操作台!$F$4)*(模板库!$E$2:$E$1000="item")),6),""),IF(OR(_xlpm.v="",_xlpm.v=0),"",_xlpm.v)),IF(操作台!$B$4="接龙导入",IFERROR(INDEX(计算区!$F$5:$F$25,6),""),IF(COUNTA($L9:$P9)&gt;0,"manual-"&amp;TEXT($A9,"00"),"")))</f>
        <v>i-timer-declare</v>
      </c>
      <c r="C9" s="5" cm="1">
        <f t="array" ref="C9">IF(操作台!$B$4="议程模板",_xlfn.LET(_xlpm.v,IFERROR(INDEX(_xlfn._xlws.FILTER(模板库!$F$2:$F$1000,(模板库!$B$2:$B$1000=操作台!$F$4)*(模板库!$E$2:$E$1000="item")),6),""),IF(OR(_xlpm.v="",_xlpm.v=0),"",_xlpm.v)),IF(操作台!$B$4="接龙导入",IFERROR(INDEX(计算区!$G$5:$G$25,6),""),IF(COUNTA($L9:$P9)&gt;0,1,"")))</f>
        <v>1</v>
      </c>
      <c r="D9" s="5" t="str" cm="1">
        <f t="array" ref="D9">IF(操作台!$B$4="议程模板",_xlfn.LET(_xlpm.v,IFERROR(INDEX(_xlfn._xlws.FILTER(模板库!$G$2:$G$1000,(模板库!$B$2:$B$1000=操作台!$F$4)*(模板库!$E$2:$E$1000="item")),6),""),IF(OR(_xlpm.v="",_xlpm.v=0),"",_xlpm.v)),IF(操作台!$B$4="接龙导入",IFERROR(INDEX(计算区!$H$5:$H$25,6),""),IF(COUNTA($L9:$P9)&gt;0,"手工议程","")))</f>
        <v>开场环节</v>
      </c>
      <c r="E9" s="5" t="str" cm="1">
        <f t="array" ref="E9">IF(操作台!$B$4="议程模板",_xlfn.LET(_xlpm.v,IFERROR(INDEX(_xlfn._xlws.FILTER(模板库!$M$2:$M$1000,(模板库!$B$2:$B$1000=操作台!$F$4)*(模板库!$E$2:$E$1000="item")),6),""),IF(OR(_xlpm.v="",_xlpm.v=0),"",_xlpm.v)),IF(操作台!$B$4="接龙导入",IFERROR(INDEX(计算区!$N$5:$N$25,6),""),IF(COUNTA($L9:$P9)&gt;0,"plain","")))</f>
        <v>plain</v>
      </c>
      <c r="F9" s="27">
        <f>IF($B9="","",IF(COUNTIF($Q$4:$Q8,"*排程*")&gt;0,"",IF(COUNTIF($B$4:$B8,"&lt;&gt;")=0,IF(操作台!$B$4="接龙导入",IF(计算区!$E$7&lt;&gt;"",计算区!$E$7,操作台!$F$10),操作台!$F$10),MAX($R$4:$R8))))</f>
        <v>0.81666666666666665</v>
      </c>
      <c r="G9" s="5" t="str" cm="1">
        <f t="array" ref="G9">IF(操作台!$B$4="议程模板",_xlfn.LET(_xlpm.v,IFERROR(INDEX(_xlfn._xlws.FILTER(模板库!$H$2:$H$1000,(模板库!$B$2:$B$1000=操作台!$F$4)*(模板库!$E$2:$E$1000="item")),6),""),IF(OR(_xlpm.v="",_xlpm.v=0),"",_xlpm.v)),IF(操作台!$B$4="接龙导入",IFERROR(INDEX(计算区!$I$5:$I$25,6),""),""))</f>
        <v>时间官宣言</v>
      </c>
      <c r="H9" s="5" t="str" cm="1">
        <f t="array" ref="H9">IF(操作台!$B$4="议程模板",_xlfn.LET(_xlpm.v,IFERROR(INDEX(_xlfn._xlws.FILTER(模板库!$I$2:$I$1000,(模板库!$B$2:$B$1000=操作台!$F$4)*(模板库!$E$2:$E$1000="item")),6),""),IF(OR(_xlpm.v="",_xlpm.v=0),"",_xlpm.v)),IF(操作台!$B$4="接龙导入","",""))</f>
        <v/>
      </c>
      <c r="I9" s="5" t="str" cm="1">
        <f t="array" ref="I9">IF(操作台!$B$4="议程模板",_xlfn.LET(_xlpm.v,IFERROR(INDEX(_xlfn._xlws.FILTER(模板库!$J$2:$J$1000,(模板库!$B$2:$B$1000=操作台!$F$4)*(模板库!$E$2:$E$1000="item")),6),""),IF(OR(_xlpm.v="",_xlpm.v=0),"",_xlpm.v)),IF(操作台!$B$4="接龙导入",IFERROR(INDEX(计算区!$J$5:$J$25,6),""),""))</f>
        <v>2</v>
      </c>
      <c r="J9" s="5" cm="1">
        <f t="array" ref="J9">IF(操作台!$B$4="议程模板",_xlfn.LET(_xlpm.v,IFERROR(INDEX(_xlfn._xlws.FILTER(模板库!$K$2:$K$1000,(模板库!$B$2:$B$1000=操作台!$F$4)*(模板库!$E$2:$E$1000="item")),6),""),IF(OR(_xlpm.v="",_xlpm.v=0),"",_xlpm.v)),IF(操作台!$B$4="接龙导入",IFERROR(INDEX(计算区!$K$5:$K$25,6),""),""))</f>
        <v>2</v>
      </c>
      <c r="K9" s="5" t="str" cm="1">
        <f t="array" ref="K9">IF(操作台!$B$4="议程模板",_xlfn.LET(_xlpm.v,IFERROR(INDEX(_xlfn._xlws.FILTER(模板库!$L$2:$L$1000,(模板库!$B$2:$B$1000=操作台!$F$4)*(模板库!$E$2:$E$1000="item")),6),""),IF(OR(_xlpm.v="",_xlpm.v=0),"",_xlpm.v)),IF(操作台!$B$4="接龙导入",IFERROR(INDEX(计算区!$M$5:$M$25,6),""),""))</f>
        <v/>
      </c>
      <c r="L9" s="23"/>
      <c r="M9" s="24"/>
      <c r="N9" s="24"/>
      <c r="O9" s="24"/>
      <c r="P9" s="25"/>
      <c r="Q9" s="26" t="str">
        <f>IF($B9="","",_xlfn.LET(_xlpm.m,IF($O9&lt;&gt;"",$O9,$J9),_xlpm.p,IF($P9&lt;&gt;"",$P9,IF($K9="","待定",$K9)),_xlpm.title,IF($L9&lt;&gt;"",$L9,$G9),_xlfn.TEXTJOIN("；",TRUE,IF(_xlpm.title="","缺少标题",""),IF(_xlpm.m="","缺少排程分钟",IF(NOT(ISNUMBER(_xlpm.m)),"排程分钟无效","")),IF(_xlpm.p="待定","负责人待定",""),IF(AND($A9&gt;1,$F9=""),"前序排程中断",""))))</f>
        <v>负责人待定</v>
      </c>
      <c r="R9" s="28">
        <f t="shared" si="0"/>
        <v>0.81805555555555554</v>
      </c>
      <c r="S9">
        <f t="shared" si="1"/>
        <v>1</v>
      </c>
    </row>
    <row r="10" spans="1:19" ht="27" customHeight="1">
      <c r="A10" s="5">
        <v>7</v>
      </c>
      <c r="B10" s="5" t="str" cm="1">
        <f t="array" ref="B10">IF(操作台!$B$4="议程模板",_xlfn.LET(_xlpm.v,IFERROR(INDEX(_xlfn._xlws.FILTER(模板库!$D$2:$D$1000,(模板库!$B$2:$B$1000=操作台!$F$4)*(模板库!$E$2:$E$1000="item")),7),""),IF(OR(_xlpm.v="",_xlpm.v=0),"",_xlpm.v)),IF(操作台!$B$4="接龙导入",IFERROR(INDEX(计算区!$F$5:$F$25,7),""),IF(COUNTA($L10:$P10)&gt;0,"manual-"&amp;TEXT($A10,"00"),"")))</f>
        <v>i-ah-declare</v>
      </c>
      <c r="C10" s="5" cm="1">
        <f t="array" ref="C10">IF(操作台!$B$4="议程模板",_xlfn.LET(_xlpm.v,IFERROR(INDEX(_xlfn._xlws.FILTER(模板库!$F$2:$F$1000,(模板库!$B$2:$B$1000=操作台!$F$4)*(模板库!$E$2:$E$1000="item")),7),""),IF(OR(_xlpm.v="",_xlpm.v=0),"",_xlpm.v)),IF(操作台!$B$4="接龙导入",IFERROR(INDEX(计算区!$G$5:$G$25,7),""),IF(COUNTA($L10:$P10)&gt;0,1,"")))</f>
        <v>1</v>
      </c>
      <c r="D10" s="5" t="str" cm="1">
        <f t="array" ref="D10">IF(操作台!$B$4="议程模板",_xlfn.LET(_xlpm.v,IFERROR(INDEX(_xlfn._xlws.FILTER(模板库!$G$2:$G$1000,(模板库!$B$2:$B$1000=操作台!$F$4)*(模板库!$E$2:$E$1000="item")),7),""),IF(OR(_xlpm.v="",_xlpm.v=0),"",_xlpm.v)),IF(操作台!$B$4="接龙导入",IFERROR(INDEX(计算区!$H$5:$H$25,7),""),IF(COUNTA($L10:$P10)&gt;0,"手工议程","")))</f>
        <v>开场环节</v>
      </c>
      <c r="E10" s="5" t="str" cm="1">
        <f t="array" ref="E10">IF(操作台!$B$4="议程模板",_xlfn.LET(_xlpm.v,IFERROR(INDEX(_xlfn._xlws.FILTER(模板库!$M$2:$M$1000,(模板库!$B$2:$B$1000=操作台!$F$4)*(模板库!$E$2:$E$1000="item")),7),""),IF(OR(_xlpm.v="",_xlpm.v=0),"",_xlpm.v)),IF(操作台!$B$4="接龙导入",IFERROR(INDEX(计算区!$N$5:$N$25,7),""),IF(COUNTA($L10:$P10)&gt;0,"plain","")))</f>
        <v>plain</v>
      </c>
      <c r="F10" s="27">
        <f>IF($B10="","",IF(COUNTIF($Q$4:$Q9,"*排程*")&gt;0,"",IF(COUNTIF($B$4:$B9,"&lt;&gt;")=0,IF(操作台!$B$4="接龙导入",IF(计算区!$E$7&lt;&gt;"",计算区!$E$7,操作台!$F$10),操作台!$F$10),MAX($R$4:$R9))))</f>
        <v>0.81805555555555554</v>
      </c>
      <c r="G10" s="5" t="str" cm="1">
        <f t="array" ref="G10">IF(操作台!$B$4="议程模板",_xlfn.LET(_xlpm.v,IFERROR(INDEX(_xlfn._xlws.FILTER(模板库!$H$2:$H$1000,(模板库!$B$2:$B$1000=操作台!$F$4)*(模板库!$E$2:$E$1000="item")),7),""),IF(OR(_xlpm.v="",_xlpm.v=0),"",_xlpm.v)),IF(操作台!$B$4="接龙导入",IFERROR(INDEX(计算区!$I$5:$I$25,7),""),""))</f>
        <v>哼哈官宣言</v>
      </c>
      <c r="H10" s="5" t="str" cm="1">
        <f t="array" ref="H10">IF(操作台!$B$4="议程模板",_xlfn.LET(_xlpm.v,IFERROR(INDEX(_xlfn._xlws.FILTER(模板库!$I$2:$I$1000,(模板库!$B$2:$B$1000=操作台!$F$4)*(模板库!$E$2:$E$1000="item")),7),""),IF(OR(_xlpm.v="",_xlpm.v=0),"",_xlpm.v)),IF(操作台!$B$4="接龙导入","",""))</f>
        <v/>
      </c>
      <c r="I10" s="5" t="str" cm="1">
        <f t="array" ref="I10">IF(操作台!$B$4="议程模板",_xlfn.LET(_xlpm.v,IFERROR(INDEX(_xlfn._xlws.FILTER(模板库!$J$2:$J$1000,(模板库!$B$2:$B$1000=操作台!$F$4)*(模板库!$E$2:$E$1000="item")),7),""),IF(OR(_xlpm.v="",_xlpm.v=0),"",_xlpm.v)),IF(操作台!$B$4="接龙导入",IFERROR(INDEX(计算区!$J$5:$J$25,7),""),""))</f>
        <v>2</v>
      </c>
      <c r="J10" s="5" cm="1">
        <f t="array" ref="J10">IF(操作台!$B$4="议程模板",_xlfn.LET(_xlpm.v,IFERROR(INDEX(_xlfn._xlws.FILTER(模板库!$K$2:$K$1000,(模板库!$B$2:$B$1000=操作台!$F$4)*(模板库!$E$2:$E$1000="item")),7),""),IF(OR(_xlpm.v="",_xlpm.v=0),"",_xlpm.v)),IF(操作台!$B$4="接龙导入",IFERROR(INDEX(计算区!$K$5:$K$25,7),""),""))</f>
        <v>2</v>
      </c>
      <c r="K10" s="5" t="str" cm="1">
        <f t="array" ref="K10">IF(操作台!$B$4="议程模板",_xlfn.LET(_xlpm.v,IFERROR(INDEX(_xlfn._xlws.FILTER(模板库!$L$2:$L$1000,(模板库!$B$2:$B$1000=操作台!$F$4)*(模板库!$E$2:$E$1000="item")),7),""),IF(OR(_xlpm.v="",_xlpm.v=0),"",_xlpm.v)),IF(操作台!$B$4="接龙导入",IFERROR(INDEX(计算区!$M$5:$M$25,7),""),""))</f>
        <v/>
      </c>
      <c r="L10" s="23"/>
      <c r="M10" s="24"/>
      <c r="N10" s="24"/>
      <c r="O10" s="24"/>
      <c r="P10" s="25"/>
      <c r="Q10" s="26" t="str">
        <f>IF($B10="","",_xlfn.LET(_xlpm.m,IF($O10&lt;&gt;"",$O10,$J10),_xlpm.p,IF($P10&lt;&gt;"",$P10,IF($K10="","待定",$K10)),_xlpm.title,IF($L10&lt;&gt;"",$L10,$G10),_xlfn.TEXTJOIN("；",TRUE,IF(_xlpm.title="","缺少标题",""),IF(_xlpm.m="","缺少排程分钟",IF(NOT(ISNUMBER(_xlpm.m)),"排程分钟无效","")),IF(_xlpm.p="待定","负责人待定",""),IF(AND($A10&gt;1,$F10=""),"前序排程中断",""))))</f>
        <v>负责人待定</v>
      </c>
      <c r="R10" s="28">
        <f t="shared" si="0"/>
        <v>0.81944444444444442</v>
      </c>
      <c r="S10">
        <f t="shared" si="1"/>
        <v>1</v>
      </c>
    </row>
    <row r="11" spans="1:19" ht="27" customHeight="1">
      <c r="A11" s="5">
        <v>8</v>
      </c>
      <c r="B11" s="5" t="str" cm="1">
        <f t="array" ref="B11">IF(操作台!$B$4="议程模板",_xlfn.LET(_xlpm.v,IFERROR(INDEX(_xlfn._xlws.FILTER(模板库!$D$2:$D$1000,(模板库!$B$2:$B$1000=操作台!$F$4)*(模板库!$E$2:$E$1000="item")),8),""),IF(OR(_xlpm.v="",_xlpm.v=0),"",_xlpm.v)),IF(操作台!$B$4="接龙导入",IFERROR(INDEX(计算区!$F$5:$F$25,8),""),IF(COUNTA($L11:$P11)&gt;0,"manual-"&amp;TEXT($A11,"00"),"")))</f>
        <v>i-grammar-declare</v>
      </c>
      <c r="C11" s="5" cm="1">
        <f t="array" ref="C11">IF(操作台!$B$4="议程模板",_xlfn.LET(_xlpm.v,IFERROR(INDEX(_xlfn._xlws.FILTER(模板库!$F$2:$F$1000,(模板库!$B$2:$B$1000=操作台!$F$4)*(模板库!$E$2:$E$1000="item")),8),""),IF(OR(_xlpm.v="",_xlpm.v=0),"",_xlpm.v)),IF(操作台!$B$4="接龙导入",IFERROR(INDEX(计算区!$G$5:$G$25,8),""),IF(COUNTA($L11:$P11)&gt;0,1,"")))</f>
        <v>1</v>
      </c>
      <c r="D11" s="5" t="str" cm="1">
        <f t="array" ref="D11">IF(操作台!$B$4="议程模板",_xlfn.LET(_xlpm.v,IFERROR(INDEX(_xlfn._xlws.FILTER(模板库!$G$2:$G$1000,(模板库!$B$2:$B$1000=操作台!$F$4)*(模板库!$E$2:$E$1000="item")),8),""),IF(OR(_xlpm.v="",_xlpm.v=0),"",_xlpm.v)),IF(操作台!$B$4="接龙导入",IFERROR(INDEX(计算区!$H$5:$H$25,8),""),IF(COUNTA($L11:$P11)&gt;0,"手工议程","")))</f>
        <v>开场环节</v>
      </c>
      <c r="E11" s="5" t="str" cm="1">
        <f t="array" ref="E11">IF(操作台!$B$4="议程模板",_xlfn.LET(_xlpm.v,IFERROR(INDEX(_xlfn._xlws.FILTER(模板库!$M$2:$M$1000,(模板库!$B$2:$B$1000=操作台!$F$4)*(模板库!$E$2:$E$1000="item")),8),""),IF(OR(_xlpm.v="",_xlpm.v=0),"",_xlpm.v)),IF(操作台!$B$4="接龙导入",IFERROR(INDEX(计算区!$N$5:$N$25,8),""),IF(COUNTA($L11:$P11)&gt;0,"plain","")))</f>
        <v>plain</v>
      </c>
      <c r="F11" s="27">
        <f>IF($B11="","",IF(COUNTIF($Q$4:$Q10,"*排程*")&gt;0,"",IF(COUNTIF($B$4:$B10,"&lt;&gt;")=0,IF(操作台!$B$4="接龙导入",IF(计算区!$E$7&lt;&gt;"",计算区!$E$7,操作台!$F$10),操作台!$F$10),MAX($R$4:$R10))))</f>
        <v>0.81944444444444442</v>
      </c>
      <c r="G11" s="5" t="str" cm="1">
        <f t="array" ref="G11">IF(操作台!$B$4="议程模板",_xlfn.LET(_xlpm.v,IFERROR(INDEX(_xlfn._xlws.FILTER(模板库!$H$2:$H$1000,(模板库!$B$2:$B$1000=操作台!$F$4)*(模板库!$E$2:$E$1000="item")),8),""),IF(OR(_xlpm.v="",_xlpm.v=0),"",_xlpm.v)),IF(操作台!$B$4="接龙导入",IFERROR(INDEX(计算区!$I$5:$I$25,8),""),""))</f>
        <v>语法官宣言</v>
      </c>
      <c r="H11" s="5" t="str" cm="1">
        <f t="array" ref="H11">IF(操作台!$B$4="议程模板",_xlfn.LET(_xlpm.v,IFERROR(INDEX(_xlfn._xlws.FILTER(模板库!$I$2:$I$1000,(模板库!$B$2:$B$1000=操作台!$F$4)*(模板库!$E$2:$E$1000="item")),8),""),IF(OR(_xlpm.v="",_xlpm.v=0),"",_xlpm.v)),IF(操作台!$B$4="接龙导入","",""))</f>
        <v/>
      </c>
      <c r="I11" s="5" t="str" cm="1">
        <f t="array" ref="I11">IF(操作台!$B$4="议程模板",_xlfn.LET(_xlpm.v,IFERROR(INDEX(_xlfn._xlws.FILTER(模板库!$J$2:$J$1000,(模板库!$B$2:$B$1000=操作台!$F$4)*(模板库!$E$2:$E$1000="item")),8),""),IF(OR(_xlpm.v="",_xlpm.v=0),"",_xlpm.v)),IF(操作台!$B$4="接龙导入",IFERROR(INDEX(计算区!$J$5:$J$25,8),""),""))</f>
        <v>2</v>
      </c>
      <c r="J11" s="5" cm="1">
        <f t="array" ref="J11">IF(操作台!$B$4="议程模板",_xlfn.LET(_xlpm.v,IFERROR(INDEX(_xlfn._xlws.FILTER(模板库!$K$2:$K$1000,(模板库!$B$2:$B$1000=操作台!$F$4)*(模板库!$E$2:$E$1000="item")),8),""),IF(OR(_xlpm.v="",_xlpm.v=0),"",_xlpm.v)),IF(操作台!$B$4="接龙导入",IFERROR(INDEX(计算区!$K$5:$K$25,8),""),""))</f>
        <v>2</v>
      </c>
      <c r="K11" s="5" t="str" cm="1">
        <f t="array" ref="K11">IF(操作台!$B$4="议程模板",_xlfn.LET(_xlpm.v,IFERROR(INDEX(_xlfn._xlws.FILTER(模板库!$L$2:$L$1000,(模板库!$B$2:$B$1000=操作台!$F$4)*(模板库!$E$2:$E$1000="item")),8),""),IF(OR(_xlpm.v="",_xlpm.v=0),"",_xlpm.v)),IF(操作台!$B$4="接龙导入",IFERROR(INDEX(计算区!$M$5:$M$25,8),""),""))</f>
        <v/>
      </c>
      <c r="L11" s="23"/>
      <c r="M11" s="24"/>
      <c r="N11" s="24"/>
      <c r="O11" s="24"/>
      <c r="P11" s="25"/>
      <c r="Q11" s="26" t="str">
        <f>IF($B11="","",_xlfn.LET(_xlpm.m,IF($O11&lt;&gt;"",$O11,$J11),_xlpm.p,IF($P11&lt;&gt;"",$P11,IF($K11="","待定",$K11)),_xlpm.title,IF($L11&lt;&gt;"",$L11,$G11),_xlfn.TEXTJOIN("；",TRUE,IF(_xlpm.title="","缺少标题",""),IF(_xlpm.m="","缺少排程分钟",IF(NOT(ISNUMBER(_xlpm.m)),"排程分钟无效","")),IF(_xlpm.p="待定","负责人待定",""),IF(AND($A11&gt;1,$F11=""),"前序排程中断",""))))</f>
        <v>负责人待定</v>
      </c>
      <c r="R11" s="28">
        <f t="shared" si="0"/>
        <v>0.8208333333333333</v>
      </c>
      <c r="S11">
        <f t="shared" si="1"/>
        <v>1</v>
      </c>
    </row>
    <row r="12" spans="1:19" ht="27" customHeight="1">
      <c r="A12" s="5">
        <v>9</v>
      </c>
      <c r="B12" s="5" t="str" cm="1">
        <f t="array" ref="B12">IF(操作台!$B$4="议程模板",_xlfn.LET(_xlpm.v,IFERROR(INDEX(_xlfn._xlws.FILTER(模板库!$D$2:$D$1000,(模板库!$B$2:$B$1000=操作台!$F$4)*(模板库!$E$2:$E$1000="item")),9),""),IF(OR(_xlpm.v="",_xlpm.v=0),"",_xlpm.v)),IF(操作台!$B$4="接龙导入",IFERROR(INDEX(计算区!$F$5:$F$25,9),""),IF(COUNTA($L12:$P12)&gt;0,"manual-"&amp;TEXT($A12,"00"),"")))</f>
        <v>i-impromptu-rule</v>
      </c>
      <c r="C12" s="5" cm="1">
        <f t="array" ref="C12">IF(操作台!$B$4="议程模板",_xlfn.LET(_xlpm.v,IFERROR(INDEX(_xlfn._xlws.FILTER(模板库!$F$2:$F$1000,(模板库!$B$2:$B$1000=操作台!$F$4)*(模板库!$E$2:$E$1000="item")),9),""),IF(OR(_xlpm.v="",_xlpm.v=0),"",_xlpm.v)),IF(操作台!$B$4="接龙导入",IFERROR(INDEX(计算区!$G$5:$G$25,9),""),IF(COUNTA($L12:$P12)&gt;0,1,"")))</f>
        <v>2</v>
      </c>
      <c r="D12" s="5" t="str" cm="1">
        <f t="array" ref="D12">IF(操作台!$B$4="议程模板",_xlfn.LET(_xlpm.v,IFERROR(INDEX(_xlfn._xlws.FILTER(模板库!$G$2:$G$1000,(模板库!$B$2:$B$1000=操作台!$F$4)*(模板库!$E$2:$E$1000="item")),9),""),IF(OR(_xlpm.v="",_xlpm.v=0),"",_xlpm.v)),IF(操作台!$B$4="接龙导入",IFERROR(INDEX(计算区!$H$5:$H$25,9),""),IF(COUNTA($L12:$P12)&gt;0,"手工议程","")))</f>
        <v>即兴演讲</v>
      </c>
      <c r="E12" s="5" t="str" cm="1">
        <f t="array" ref="E12">IF(操作台!$B$4="议程模板",_xlfn.LET(_xlpm.v,IFERROR(INDEX(_xlfn._xlws.FILTER(模板库!$M$2:$M$1000,(模板库!$B$2:$B$1000=操作台!$F$4)*(模板库!$E$2:$E$1000="item")),9),""),IF(OR(_xlpm.v="",_xlpm.v=0),"",_xlpm.v)),IF(操作台!$B$4="接龙导入",IFERROR(INDEX(计算区!$N$5:$N$25,9),""),IF(COUNTA($L12:$P12)&gt;0,"plain","")))</f>
        <v>impromptu</v>
      </c>
      <c r="F12" s="27">
        <f>IF($B12="","",IF(COUNTIF($Q$4:$Q11,"*排程*")&gt;0,"",IF(COUNTIF($B$4:$B11,"&lt;&gt;")=0,IF(操作台!$B$4="接龙导入",IF(计算区!$E$7&lt;&gt;"",计算区!$E$7,操作台!$F$10),操作台!$F$10),MAX($R$4:$R11))))</f>
        <v>0.8208333333333333</v>
      </c>
      <c r="G12" s="5" t="str" cm="1">
        <f t="array" ref="G12">IF(操作台!$B$4="议程模板",_xlfn.LET(_xlpm.v,IFERROR(INDEX(_xlfn._xlws.FILTER(模板库!$H$2:$H$1000,(模板库!$B$2:$B$1000=操作台!$F$4)*(模板库!$E$2:$E$1000="item")),9),""),IF(OR(_xlpm.v="",_xlpm.v=0),"",_xlpm.v)),IF(操作台!$B$4="接龙导入",IFERROR(INDEX(计算区!$I$5:$I$25,9),""),""))</f>
        <v>即兴主持介绍规则</v>
      </c>
      <c r="H12" s="5" t="str" cm="1">
        <f t="array" ref="H12">IF(操作台!$B$4="议程模板",_xlfn.LET(_xlpm.v,IFERROR(INDEX(_xlfn._xlws.FILTER(模板库!$I$2:$I$1000,(模板库!$B$2:$B$1000=操作台!$F$4)*(模板库!$E$2:$E$1000="item")),9),""),IF(OR(_xlpm.v="",_xlpm.v=0),"",_xlpm.v)),IF(操作台!$B$4="接龙导入","",""))</f>
        <v/>
      </c>
      <c r="I12" s="5" t="str" cm="1">
        <f t="array" ref="I12">IF(操作台!$B$4="议程模板",_xlfn.LET(_xlpm.v,IFERROR(INDEX(_xlfn._xlws.FILTER(模板库!$J$2:$J$1000,(模板库!$B$2:$B$1000=操作台!$F$4)*(模板库!$E$2:$E$1000="item")),9),""),IF(OR(_xlpm.v="",_xlpm.v=0),"",_xlpm.v)),IF(操作台!$B$4="接龙导入",IFERROR(INDEX(计算区!$J$5:$J$25,9),""),""))</f>
        <v>2</v>
      </c>
      <c r="J12" s="5" cm="1">
        <f t="array" ref="J12">IF(操作台!$B$4="议程模板",_xlfn.LET(_xlpm.v,IFERROR(INDEX(_xlfn._xlws.FILTER(模板库!$K$2:$K$1000,(模板库!$B$2:$B$1000=操作台!$F$4)*(模板库!$E$2:$E$1000="item")),9),""),IF(OR(_xlpm.v="",_xlpm.v=0),"",_xlpm.v)),IF(操作台!$B$4="接龙导入",IFERROR(INDEX(计算区!$K$5:$K$25,9),""),""))</f>
        <v>2</v>
      </c>
      <c r="K12" s="5" t="str" cm="1">
        <f t="array" ref="K12">IF(操作台!$B$4="议程模板",_xlfn.LET(_xlpm.v,IFERROR(INDEX(_xlfn._xlws.FILTER(模板库!$L$2:$L$1000,(模板库!$B$2:$B$1000=操作台!$F$4)*(模板库!$E$2:$E$1000="item")),9),""),IF(OR(_xlpm.v="",_xlpm.v=0),"",_xlpm.v)),IF(操作台!$B$4="接龙导入",IFERROR(INDEX(计算区!$M$5:$M$25,9),""),""))</f>
        <v/>
      </c>
      <c r="L12" s="23"/>
      <c r="M12" s="24"/>
      <c r="N12" s="24"/>
      <c r="O12" s="24"/>
      <c r="P12" s="25"/>
      <c r="Q12" s="26" t="str">
        <f>IF($B12="","",_xlfn.LET(_xlpm.m,IF($O12&lt;&gt;"",$O12,$J12),_xlpm.p,IF($P12&lt;&gt;"",$P12,IF($K12="","待定",$K12)),_xlpm.title,IF($L12&lt;&gt;"",$L12,$G12),_xlfn.TEXTJOIN("；",TRUE,IF(_xlpm.title="","缺少标题",""),IF(_xlpm.m="","缺少排程分钟",IF(NOT(ISNUMBER(_xlpm.m)),"排程分钟无效","")),IF(_xlpm.p="待定","负责人待定",""),IF(AND($A12&gt;1,$F12=""),"前序排程中断",""))))</f>
        <v>负责人待定</v>
      </c>
      <c r="R12" s="28">
        <f t="shared" si="0"/>
        <v>0.82222222222222219</v>
      </c>
      <c r="S12">
        <f t="shared" si="1"/>
        <v>1</v>
      </c>
    </row>
    <row r="13" spans="1:19" ht="27" customHeight="1">
      <c r="A13" s="5">
        <v>10</v>
      </c>
      <c r="B13" s="5" t="str" cm="1">
        <f t="array" ref="B13">IF(操作台!$B$4="议程模板",_xlfn.LET(_xlpm.v,IFERROR(INDEX(_xlfn._xlws.FILTER(模板库!$D$2:$D$1000,(模板库!$B$2:$B$1000=操作台!$F$4)*(模板库!$E$2:$E$1000="item")),10),""),IF(OR(_xlpm.v="",_xlpm.v=0),"",_xlpm.v)),IF(操作台!$B$4="接龙导入",IFERROR(INDEX(计算区!$F$5:$F$25,10),""),IF(COUNTA($L13:$P13)&gt;0,"manual-"&amp;TEXT($A13,"00"),"")))</f>
        <v>i-impromptu</v>
      </c>
      <c r="C13" s="5" cm="1">
        <f t="array" ref="C13">IF(操作台!$B$4="议程模板",_xlfn.LET(_xlpm.v,IFERROR(INDEX(_xlfn._xlws.FILTER(模板库!$F$2:$F$1000,(模板库!$B$2:$B$1000=操作台!$F$4)*(模板库!$E$2:$E$1000="item")),10),""),IF(OR(_xlpm.v="",_xlpm.v=0),"",_xlpm.v)),IF(操作台!$B$4="接龙导入",IFERROR(INDEX(计算区!$G$5:$G$25,10),""),IF(COUNTA($L13:$P13)&gt;0,1,"")))</f>
        <v>2</v>
      </c>
      <c r="D13" s="5" t="str" cm="1">
        <f t="array" ref="D13">IF(操作台!$B$4="议程模板",_xlfn.LET(_xlpm.v,IFERROR(INDEX(_xlfn._xlws.FILTER(模板库!$G$2:$G$1000,(模板库!$B$2:$B$1000=操作台!$F$4)*(模板库!$E$2:$E$1000="item")),10),""),IF(OR(_xlpm.v="",_xlpm.v=0),"",_xlpm.v)),IF(操作台!$B$4="接龙导入",IFERROR(INDEX(计算区!$H$5:$H$25,10),""),IF(COUNTA($L13:$P13)&gt;0,"手工议程","")))</f>
        <v>即兴演讲</v>
      </c>
      <c r="E13" s="5" t="str" cm="1">
        <f t="array" ref="E13">IF(操作台!$B$4="议程模板",_xlfn.LET(_xlpm.v,IFERROR(INDEX(_xlfn._xlws.FILTER(模板库!$M$2:$M$1000,(模板库!$B$2:$B$1000=操作台!$F$4)*(模板库!$E$2:$E$1000="item")),10),""),IF(OR(_xlpm.v="",_xlpm.v=0),"",_xlpm.v)),IF(操作台!$B$4="接龙导入",IFERROR(INDEX(计算区!$N$5:$N$25,10),""),IF(COUNTA($L13:$P13)&gt;0,"plain","")))</f>
        <v>impromptu</v>
      </c>
      <c r="F13" s="27">
        <f>IF($B13="","",IF(COUNTIF($Q$4:$Q12,"*排程*")&gt;0,"",IF(COUNTIF($B$4:$B12,"&lt;&gt;")=0,IF(操作台!$B$4="接龙导入",IF(计算区!$E$7&lt;&gt;"",计算区!$E$7,操作台!$F$10),操作台!$F$10),MAX($R$4:$R12))))</f>
        <v>0.82222222222222219</v>
      </c>
      <c r="G13" s="5" t="str" cm="1">
        <f t="array" ref="G13">IF(操作台!$B$4="议程模板",_xlfn.LET(_xlpm.v,IFERROR(INDEX(_xlfn._xlws.FILTER(模板库!$H$2:$H$1000,(模板库!$B$2:$B$1000=操作台!$F$4)*(模板库!$E$2:$E$1000="item")),10),""),IF(OR(_xlpm.v="",_xlpm.v=0),"",_xlpm.v)),IF(操作台!$B$4="接龙导入",IFERROR(INDEX(计算区!$I$5:$I$25,10),""),""))</f>
        <v>即兴演讲</v>
      </c>
      <c r="H13" s="5" t="str" cm="1">
        <f t="array" ref="H13">IF(操作台!$B$4="议程模板",_xlfn.LET(_xlpm.v,IFERROR(INDEX(_xlfn._xlws.FILTER(模板库!$I$2:$I$1000,(模板库!$B$2:$B$1000=操作台!$F$4)*(模板库!$E$2:$E$1000="item")),10),""),IF(OR(_xlpm.v="",_xlpm.v=0),"",_xlpm.v)),IF(操作台!$B$4="接龙导入","",""))</f>
        <v/>
      </c>
      <c r="I13" s="5" t="str" cm="1">
        <f t="array" ref="I13">IF(操作台!$B$4="议程模板",_xlfn.LET(_xlpm.v,IFERROR(INDEX(_xlfn._xlws.FILTER(模板库!$J$2:$J$1000,(模板库!$B$2:$B$1000=操作台!$F$4)*(模板库!$E$2:$E$1000="item")),10),""),IF(OR(_xlpm.v="",_xlpm.v=0),"",_xlpm.v)),IF(操作台!$B$4="接龙导入",IFERROR(INDEX(计算区!$J$5:$J$25,10),""),""))</f>
        <v>16</v>
      </c>
      <c r="J13" s="5" cm="1">
        <f t="array" ref="J13">IF(操作台!$B$4="议程模板",_xlfn.LET(_xlpm.v,IFERROR(INDEX(_xlfn._xlws.FILTER(模板库!$K$2:$K$1000,(模板库!$B$2:$B$1000=操作台!$F$4)*(模板库!$E$2:$E$1000="item")),10),""),IF(OR(_xlpm.v="",_xlpm.v=0),"",_xlpm.v)),IF(操作台!$B$4="接龙导入",IFERROR(INDEX(计算区!$K$5:$K$25,10),""),""))</f>
        <v>16</v>
      </c>
      <c r="K13" s="5" t="str" cm="1">
        <f t="array" ref="K13">IF(操作台!$B$4="议程模板",_xlfn.LET(_xlpm.v,IFERROR(INDEX(_xlfn._xlws.FILTER(模板库!$L$2:$L$1000,(模板库!$B$2:$B$1000=操作台!$F$4)*(模板库!$E$2:$E$1000="item")),10),""),IF(OR(_xlpm.v="",_xlpm.v=0),"",_xlpm.v)),IF(操作台!$B$4="接龙导入",IFERROR(INDEX(计算区!$M$5:$M$25,10),""),""))</f>
        <v>全员</v>
      </c>
      <c r="L13" s="23"/>
      <c r="M13" s="24"/>
      <c r="N13" s="24"/>
      <c r="O13" s="24"/>
      <c r="P13" s="25"/>
      <c r="Q13" s="26" t="str">
        <f>IF($B13="","",_xlfn.LET(_xlpm.m,IF($O13&lt;&gt;"",$O13,$J13),_xlpm.p,IF($P13&lt;&gt;"",$P13,IF($K13="","待定",$K13)),_xlpm.title,IF($L13&lt;&gt;"",$L13,$G13),_xlfn.TEXTJOIN("；",TRUE,IF(_xlpm.title="","缺少标题",""),IF(_xlpm.m="","缺少排程分钟",IF(NOT(ISNUMBER(_xlpm.m)),"排程分钟无效","")),IF(_xlpm.p="待定","负责人待定",""),IF(AND($A13&gt;1,$F13=""),"前序排程中断",""))))</f>
        <v/>
      </c>
      <c r="R13" s="28">
        <f t="shared" si="0"/>
        <v>0.83333333333333326</v>
      </c>
      <c r="S13">
        <f t="shared" si="1"/>
        <v>1</v>
      </c>
    </row>
    <row r="14" spans="1:19" ht="27" customHeight="1">
      <c r="A14" s="5">
        <v>11</v>
      </c>
      <c r="B14" s="5" t="str" cm="1">
        <f t="array" ref="B14">IF(操作台!$B$4="议程模板",_xlfn.LET(_xlpm.v,IFERROR(INDEX(_xlfn._xlws.FILTER(模板库!$D$2:$D$1000,(模板库!$B$2:$B$1000=操作台!$F$4)*(模板库!$E$2:$E$1000="item")),11),""),IF(OR(_xlpm.v="",_xlpm.v=0),"",_xlpm.v)),IF(操作台!$B$4="接龙导入",IFERROR(INDEX(计算区!$F$5:$F$25,11),""),IF(COUNTA($L14:$P14)&gt;0,"manual-"&amp;TEXT($A14,"00"),"")))</f>
        <v>i-prepared-intro</v>
      </c>
      <c r="C14" s="5" cm="1">
        <f t="array" ref="C14">IF(操作台!$B$4="议程模板",_xlfn.LET(_xlpm.v,IFERROR(INDEX(_xlfn._xlws.FILTER(模板库!$F$2:$F$1000,(模板库!$B$2:$B$1000=操作台!$F$4)*(模板库!$E$2:$E$1000="item")),11),""),IF(OR(_xlpm.v="",_xlpm.v=0),"",_xlpm.v)),IF(操作台!$B$4="接龙导入",IFERROR(INDEX(计算区!$G$5:$G$25,11),""),IF(COUNTA($L14:$P14)&gt;0,1,"")))</f>
        <v>3</v>
      </c>
      <c r="D14" s="5" t="str" cm="1">
        <f t="array" ref="D14">IF(操作台!$B$4="议程模板",_xlfn.LET(_xlpm.v,IFERROR(INDEX(_xlfn._xlws.FILTER(模板库!$G$2:$G$1000,(模板库!$B$2:$B$1000=操作台!$F$4)*(模板库!$E$2:$E$1000="item")),11),""),IF(OR(_xlpm.v="",_xlpm.v=0),"",_xlpm.v)),IF(操作台!$B$4="接龙导入",IFERROR(INDEX(计算区!$H$5:$H$25,11),""),IF(COUNTA($L14:$P14)&gt;0,"手工议程","")))</f>
        <v>精心演讲环节</v>
      </c>
      <c r="E14" s="5" t="str" cm="1">
        <f t="array" ref="E14">IF(操作台!$B$4="议程模板",_xlfn.LET(_xlpm.v,IFERROR(INDEX(_xlfn._xlws.FILTER(模板库!$M$2:$M$1000,(模板库!$B$2:$B$1000=操作台!$F$4)*(模板库!$E$2:$E$1000="item")),11),""),IF(OR(_xlpm.v="",_xlpm.v=0),"",_xlpm.v)),IF(操作台!$B$4="接龙导入",IFERROR(INDEX(计算区!$N$5:$N$25,11),""),IF(COUNTA($L14:$P14)&gt;0,"plain","")))</f>
        <v>plain</v>
      </c>
      <c r="F14" s="27">
        <f>IF($B14="","",IF(COUNTIF($Q$4:$Q13,"*排程*")&gt;0,"",IF(COUNTIF($B$4:$B13,"&lt;&gt;")=0,IF(操作台!$B$4="接龙导入",IF(计算区!$E$7&lt;&gt;"",计算区!$E$7,操作台!$F$10),操作台!$F$10),MAX($R$4:$R13))))</f>
        <v>0.83333333333333326</v>
      </c>
      <c r="G14" s="5" t="str" cm="1">
        <f t="array" ref="G14">IF(操作台!$B$4="议程模板",_xlfn.LET(_xlpm.v,IFERROR(INDEX(_xlfn._xlws.FILTER(模板库!$H$2:$H$1000,(模板库!$B$2:$B$1000=操作台!$F$4)*(模板库!$E$2:$E$1000="item")),11),""),IF(OR(_xlpm.v="",_xlpm.v=0),"",_xlpm.v)),IF(操作台!$B$4="接龙导入",IFERROR(INDEX(计算区!$I$5:$I$25,11),""),""))</f>
        <v>总主持人介绍本环节+串场</v>
      </c>
      <c r="H14" s="5" t="str" cm="1">
        <f t="array" ref="H14">IF(操作台!$B$4="议程模板",_xlfn.LET(_xlpm.v,IFERROR(INDEX(_xlfn._xlws.FILTER(模板库!$I$2:$I$1000,(模板库!$B$2:$B$1000=操作台!$F$4)*(模板库!$E$2:$E$1000="item")),11),""),IF(OR(_xlpm.v="",_xlpm.v=0),"",_xlpm.v)),IF(操作台!$B$4="接龙导入","",""))</f>
        <v/>
      </c>
      <c r="I14" s="5" t="str" cm="1">
        <f t="array" ref="I14">IF(操作台!$B$4="议程模板",_xlfn.LET(_xlpm.v,IFERROR(INDEX(_xlfn._xlws.FILTER(模板库!$J$2:$J$1000,(模板库!$B$2:$B$1000=操作台!$F$4)*(模板库!$E$2:$E$1000="item")),11),""),IF(OR(_xlpm.v="",_xlpm.v=0),"",_xlpm.v)),IF(操作台!$B$4="接龙导入",IFERROR(INDEX(计算区!$J$5:$J$25,11),""),""))</f>
        <v>2</v>
      </c>
      <c r="J14" s="5" cm="1">
        <f t="array" ref="J14">IF(操作台!$B$4="议程模板",_xlfn.LET(_xlpm.v,IFERROR(INDEX(_xlfn._xlws.FILTER(模板库!$K$2:$K$1000,(模板库!$B$2:$B$1000=操作台!$F$4)*(模板库!$E$2:$E$1000="item")),11),""),IF(OR(_xlpm.v="",_xlpm.v=0),"",_xlpm.v)),IF(操作台!$B$4="接龙导入",IFERROR(INDEX(计算区!$K$5:$K$25,11),""),""))</f>
        <v>2</v>
      </c>
      <c r="K14" s="5" t="str" cm="1">
        <f t="array" ref="K14">IF(操作台!$B$4="议程模板",_xlfn.LET(_xlpm.v,IFERROR(INDEX(_xlfn._xlws.FILTER(模板库!$L$2:$L$1000,(模板库!$B$2:$B$1000=操作台!$F$4)*(模板库!$E$2:$E$1000="item")),11),""),IF(OR(_xlpm.v="",_xlpm.v=0),"",_xlpm.v)),IF(操作台!$B$4="接龙导入",IFERROR(INDEX(计算区!$M$5:$M$25,11),""),""))</f>
        <v/>
      </c>
      <c r="L14" s="23"/>
      <c r="M14" s="24"/>
      <c r="N14" s="24"/>
      <c r="O14" s="24"/>
      <c r="P14" s="25"/>
      <c r="Q14" s="26" t="str">
        <f>IF($B14="","",_xlfn.LET(_xlpm.m,IF($O14&lt;&gt;"",$O14,$J14),_xlpm.p,IF($P14&lt;&gt;"",$P14,IF($K14="","待定",$K14)),_xlpm.title,IF($L14&lt;&gt;"",$L14,$G14),_xlfn.TEXTJOIN("；",TRUE,IF(_xlpm.title="","缺少标题",""),IF(_xlpm.m="","缺少排程分钟",IF(NOT(ISNUMBER(_xlpm.m)),"排程分钟无效","")),IF(_xlpm.p="待定","负责人待定",""),IF(AND($A14&gt;1,$F14=""),"前序排程中断",""))))</f>
        <v>负责人待定</v>
      </c>
      <c r="R14" s="28">
        <f t="shared" si="0"/>
        <v>0.83472222222222214</v>
      </c>
      <c r="S14">
        <f t="shared" si="1"/>
        <v>1</v>
      </c>
    </row>
    <row r="15" spans="1:19" ht="27" customHeight="1">
      <c r="A15" s="5">
        <v>12</v>
      </c>
      <c r="B15" s="5" t="str" cm="1">
        <f t="array" ref="B15">IF(操作台!$B$4="议程模板",_xlfn.LET(_xlpm.v,IFERROR(INDEX(_xlfn._xlws.FILTER(模板库!$D$2:$D$1000,(模板库!$B$2:$B$1000=操作台!$F$4)*(模板库!$E$2:$E$1000="item")),12),""),IF(OR(_xlpm.v="",_xlpm.v=0),"",_xlpm.v)),IF(操作台!$B$4="接龙导入",IFERROR(INDEX(计算区!$F$5:$F$25,12),""),IF(COUNTA($L15:$P15)&gt;0,"manual-"&amp;TEXT($A15,"00"),"")))</f>
        <v>i-speech-1</v>
      </c>
      <c r="C15" s="5" cm="1">
        <f t="array" ref="C15">IF(操作台!$B$4="议程模板",_xlfn.LET(_xlpm.v,IFERROR(INDEX(_xlfn._xlws.FILTER(模板库!$F$2:$F$1000,(模板库!$B$2:$B$1000=操作台!$F$4)*(模板库!$E$2:$E$1000="item")),12),""),IF(OR(_xlpm.v="",_xlpm.v=0),"",_xlpm.v)),IF(操作台!$B$4="接龙导入",IFERROR(INDEX(计算区!$G$5:$G$25,12),""),IF(COUNTA($L15:$P15)&gt;0,1,"")))</f>
        <v>3</v>
      </c>
      <c r="D15" s="5" t="str" cm="1">
        <f t="array" ref="D15">IF(操作台!$B$4="议程模板",_xlfn.LET(_xlpm.v,IFERROR(INDEX(_xlfn._xlws.FILTER(模板库!$G$2:$G$1000,(模板库!$B$2:$B$1000=操作台!$F$4)*(模板库!$E$2:$E$1000="item")),12),""),IF(OR(_xlpm.v="",_xlpm.v=0),"",_xlpm.v)),IF(操作台!$B$4="接龙导入",IFERROR(INDEX(计算区!$H$5:$H$25,12),""),IF(COUNTA($L15:$P15)&gt;0,"手工议程","")))</f>
        <v>精心演讲环节</v>
      </c>
      <c r="E15" s="5" t="str" cm="1">
        <f t="array" ref="E15">IF(操作台!$B$4="议程模板",_xlfn.LET(_xlpm.v,IFERROR(INDEX(_xlfn._xlws.FILTER(模板库!$M$2:$M$1000,(模板库!$B$2:$B$1000=操作台!$F$4)*(模板库!$E$2:$E$1000="item")),12),""),IF(OR(_xlpm.v="",_xlpm.v=0),"",_xlpm.v)),IF(操作台!$B$4="接龙导入",IFERROR(INDEX(计算区!$N$5:$N$25,12),""),IF(COUNTA($L15:$P15)&gt;0,"plain","")))</f>
        <v>prepared</v>
      </c>
      <c r="F15" s="27">
        <f>IF($B15="","",IF(COUNTIF($Q$4:$Q14,"*排程*")&gt;0,"",IF(COUNTIF($B$4:$B14,"&lt;&gt;")=0,IF(操作台!$B$4="接龙导入",IF(计算区!$E$7&lt;&gt;"",计算区!$E$7,操作台!$F$10),操作台!$F$10),MAX($R$4:$R14))))</f>
        <v>0.83472222222222214</v>
      </c>
      <c r="G15" s="5" t="str" cm="1">
        <f t="array" ref="G15">IF(操作台!$B$4="议程模板",_xlfn.LET(_xlpm.v,IFERROR(INDEX(_xlfn._xlws.FILTER(模板库!$H$2:$H$1000,(模板库!$B$2:$B$1000=操作台!$F$4)*(模板库!$E$2:$E$1000="item")),12),""),IF(OR(_xlpm.v="",_xlpm.v=0),"",_xlpm.v)),IF(操作台!$B$4="接龙导入",IFERROR(INDEX(计算区!$I$5:$I$25,12),""),""))</f>
        <v>备稿演讲1</v>
      </c>
      <c r="H15" s="5" t="str" cm="1">
        <f t="array" ref="H15">IF(操作台!$B$4="议程模板",_xlfn.LET(_xlpm.v,IFERROR(INDEX(_xlfn._xlws.FILTER(模板库!$I$2:$I$1000,(模板库!$B$2:$B$1000=操作台!$F$4)*(模板库!$E$2:$E$1000="item")),12),""),IF(OR(_xlpm.v="",_xlpm.v=0),"",_xlpm.v)),IF(操作台!$B$4="接龙导入","",""))</f>
        <v/>
      </c>
      <c r="I15" s="5" t="str" cm="1">
        <f t="array" ref="I15">IF(操作台!$B$4="议程模板",_xlfn.LET(_xlpm.v,IFERROR(INDEX(_xlfn._xlws.FILTER(模板库!$J$2:$J$1000,(模板库!$B$2:$B$1000=操作台!$F$4)*(模板库!$E$2:$E$1000="item")),12),""),IF(OR(_xlpm.v="",_xlpm.v=0),"",_xlpm.v)),IF(操作台!$B$4="接龙导入",IFERROR(INDEX(计算区!$J$5:$J$25,12),""),""))</f>
        <v>5</v>
      </c>
      <c r="J15" s="5" cm="1">
        <f t="array" ref="J15">IF(操作台!$B$4="议程模板",_xlfn.LET(_xlpm.v,IFERROR(INDEX(_xlfn._xlws.FILTER(模板库!$K$2:$K$1000,(模板库!$B$2:$B$1000=操作台!$F$4)*(模板库!$E$2:$E$1000="item")),12),""),IF(OR(_xlpm.v="",_xlpm.v=0),"",_xlpm.v)),IF(操作台!$B$4="接龙导入",IFERROR(INDEX(计算区!$K$5:$K$25,12),""),""))</f>
        <v>5</v>
      </c>
      <c r="K15" s="5" t="str" cm="1">
        <f t="array" ref="K15">IF(操作台!$B$4="议程模板",_xlfn.LET(_xlpm.v,IFERROR(INDEX(_xlfn._xlws.FILTER(模板库!$L$2:$L$1000,(模板库!$B$2:$B$1000=操作台!$F$4)*(模板库!$E$2:$E$1000="item")),12),""),IF(OR(_xlpm.v="",_xlpm.v=0),"",_xlpm.v)),IF(操作台!$B$4="接龙导入",IFERROR(INDEX(计算区!$M$5:$M$25,12),""),""))</f>
        <v/>
      </c>
      <c r="L15" s="23"/>
      <c r="M15" s="24"/>
      <c r="N15" s="24"/>
      <c r="O15" s="24"/>
      <c r="P15" s="25"/>
      <c r="Q15" s="26" t="str">
        <f>IF($B15="","",_xlfn.LET(_xlpm.m,IF($O15&lt;&gt;"",$O15,$J15),_xlpm.p,IF($P15&lt;&gt;"",$P15,IF($K15="","待定",$K15)),_xlpm.title,IF($L15&lt;&gt;"",$L15,$G15),_xlfn.TEXTJOIN("；",TRUE,IF(_xlpm.title="","缺少标题",""),IF(_xlpm.m="","缺少排程分钟",IF(NOT(ISNUMBER(_xlpm.m)),"排程分钟无效","")),IF(_xlpm.p="待定","负责人待定",""),IF(AND($A15&gt;1,$F15=""),"前序排程中断",""))))</f>
        <v>负责人待定</v>
      </c>
      <c r="R15" s="28">
        <f t="shared" si="0"/>
        <v>0.83819444444444435</v>
      </c>
      <c r="S15">
        <f t="shared" si="1"/>
        <v>1</v>
      </c>
    </row>
    <row r="16" spans="1:19" ht="27" customHeight="1">
      <c r="A16" s="5">
        <v>13</v>
      </c>
      <c r="B16" s="5" t="str" cm="1">
        <f t="array" ref="B16">IF(操作台!$B$4="议程模板",_xlfn.LET(_xlpm.v,IFERROR(INDEX(_xlfn._xlws.FILTER(模板库!$D$2:$D$1000,(模板库!$B$2:$B$1000=操作台!$F$4)*(模板库!$E$2:$E$1000="item")),13),""),IF(OR(_xlpm.v="",_xlpm.v=0),"",_xlpm.v)),IF(操作台!$B$4="接龙导入",IFERROR(INDEX(计算区!$F$5:$F$25,13),""),IF(COUNTA($L16:$P16)&gt;0,"manual-"&amp;TEXT($A16,"00"),"")))</f>
        <v>i-speech-2</v>
      </c>
      <c r="C16" s="5" cm="1">
        <f t="array" ref="C16">IF(操作台!$B$4="议程模板",_xlfn.LET(_xlpm.v,IFERROR(INDEX(_xlfn._xlws.FILTER(模板库!$F$2:$F$1000,(模板库!$B$2:$B$1000=操作台!$F$4)*(模板库!$E$2:$E$1000="item")),13),""),IF(OR(_xlpm.v="",_xlpm.v=0),"",_xlpm.v)),IF(操作台!$B$4="接龙导入",IFERROR(INDEX(计算区!$G$5:$G$25,13),""),IF(COUNTA($L16:$P16)&gt;0,1,"")))</f>
        <v>3</v>
      </c>
      <c r="D16" s="5" t="str" cm="1">
        <f t="array" ref="D16">IF(操作台!$B$4="议程模板",_xlfn.LET(_xlpm.v,IFERROR(INDEX(_xlfn._xlws.FILTER(模板库!$G$2:$G$1000,(模板库!$B$2:$B$1000=操作台!$F$4)*(模板库!$E$2:$E$1000="item")),13),""),IF(OR(_xlpm.v="",_xlpm.v=0),"",_xlpm.v)),IF(操作台!$B$4="接龙导入",IFERROR(INDEX(计算区!$H$5:$H$25,13),""),IF(COUNTA($L16:$P16)&gt;0,"手工议程","")))</f>
        <v>精心演讲环节</v>
      </c>
      <c r="E16" s="5" t="str" cm="1">
        <f t="array" ref="E16">IF(操作台!$B$4="议程模板",_xlfn.LET(_xlpm.v,IFERROR(INDEX(_xlfn._xlws.FILTER(模板库!$M$2:$M$1000,(模板库!$B$2:$B$1000=操作台!$F$4)*(模板库!$E$2:$E$1000="item")),13),""),IF(OR(_xlpm.v="",_xlpm.v=0),"",_xlpm.v)),IF(操作台!$B$4="接龙导入",IFERROR(INDEX(计算区!$N$5:$N$25,13),""),IF(COUNTA($L16:$P16)&gt;0,"plain","")))</f>
        <v>prepared</v>
      </c>
      <c r="F16" s="27">
        <f>IF($B16="","",IF(COUNTIF($Q$4:$Q15,"*排程*")&gt;0,"",IF(COUNTIF($B$4:$B15,"&lt;&gt;")=0,IF(操作台!$B$4="接龙导入",IF(计算区!$E$7&lt;&gt;"",计算区!$E$7,操作台!$F$10),操作台!$F$10),MAX($R$4:$R15))))</f>
        <v>0.83819444444444435</v>
      </c>
      <c r="G16" s="5" t="str" cm="1">
        <f t="array" ref="G16">IF(操作台!$B$4="议程模板",_xlfn.LET(_xlpm.v,IFERROR(INDEX(_xlfn._xlws.FILTER(模板库!$H$2:$H$1000,(模板库!$B$2:$B$1000=操作台!$F$4)*(模板库!$E$2:$E$1000="item")),13),""),IF(OR(_xlpm.v="",_xlpm.v=0),"",_xlpm.v)),IF(操作台!$B$4="接龙导入",IFERROR(INDEX(计算区!$I$5:$I$25,13),""),""))</f>
        <v>备稿演讲2</v>
      </c>
      <c r="H16" s="5" t="str" cm="1">
        <f t="array" ref="H16">IF(操作台!$B$4="议程模板",_xlfn.LET(_xlpm.v,IFERROR(INDEX(_xlfn._xlws.FILTER(模板库!$I$2:$I$1000,(模板库!$B$2:$B$1000=操作台!$F$4)*(模板库!$E$2:$E$1000="item")),13),""),IF(OR(_xlpm.v="",_xlpm.v=0),"",_xlpm.v)),IF(操作台!$B$4="接龙导入","",""))</f>
        <v/>
      </c>
      <c r="I16" s="5" t="str" cm="1">
        <f t="array" ref="I16">IF(操作台!$B$4="议程模板",_xlfn.LET(_xlpm.v,IFERROR(INDEX(_xlfn._xlws.FILTER(模板库!$J$2:$J$1000,(模板库!$B$2:$B$1000=操作台!$F$4)*(模板库!$E$2:$E$1000="item")),13),""),IF(OR(_xlpm.v="",_xlpm.v=0),"",_xlpm.v)),IF(操作台!$B$4="接龙导入",IFERROR(INDEX(计算区!$J$5:$J$25,13),""),""))</f>
        <v>15-20</v>
      </c>
      <c r="J16" s="5" cm="1">
        <f t="array" ref="J16">IF(操作台!$B$4="议程模板",_xlfn.LET(_xlpm.v,IFERROR(INDEX(_xlfn._xlws.FILTER(模板库!$K$2:$K$1000,(模板库!$B$2:$B$1000=操作台!$F$4)*(模板库!$E$2:$E$1000="item")),13),""),IF(OR(_xlpm.v="",_xlpm.v=0),"",_xlpm.v)),IF(操作台!$B$4="接龙导入",IFERROR(INDEX(计算区!$K$5:$K$25,13),""),""))</f>
        <v>20</v>
      </c>
      <c r="K16" s="5" t="str" cm="1">
        <f t="array" ref="K16">IF(操作台!$B$4="议程模板",_xlfn.LET(_xlpm.v,IFERROR(INDEX(_xlfn._xlws.FILTER(模板库!$L$2:$L$1000,(模板库!$B$2:$B$1000=操作台!$F$4)*(模板库!$E$2:$E$1000="item")),13),""),IF(OR(_xlpm.v="",_xlpm.v=0),"",_xlpm.v)),IF(操作台!$B$4="接龙导入",IFERROR(INDEX(计算区!$M$5:$M$25,13),""),""))</f>
        <v/>
      </c>
      <c r="L16" s="23"/>
      <c r="M16" s="24"/>
      <c r="N16" s="24"/>
      <c r="O16" s="24"/>
      <c r="P16" s="25"/>
      <c r="Q16" s="26" t="str">
        <f>IF($B16="","",_xlfn.LET(_xlpm.m,IF($O16&lt;&gt;"",$O16,$J16),_xlpm.p,IF($P16&lt;&gt;"",$P16,IF($K16="","待定",$K16)),_xlpm.title,IF($L16&lt;&gt;"",$L16,$G16),_xlfn.TEXTJOIN("；",TRUE,IF(_xlpm.title="","缺少标题",""),IF(_xlpm.m="","缺少排程分钟",IF(NOT(ISNUMBER(_xlpm.m)),"排程分钟无效","")),IF(_xlpm.p="待定","负责人待定",""),IF(AND($A16&gt;1,$F16=""),"前序排程中断",""))))</f>
        <v>负责人待定</v>
      </c>
      <c r="R16" s="28">
        <f t="shared" si="0"/>
        <v>0.85208333333333319</v>
      </c>
      <c r="S16">
        <f t="shared" si="1"/>
        <v>1</v>
      </c>
    </row>
    <row r="17" spans="1:19" ht="27" customHeight="1">
      <c r="A17" s="5">
        <v>14</v>
      </c>
      <c r="B17" s="5" t="str" cm="1">
        <f t="array" ref="B17">IF(操作台!$B$4="议程模板",_xlfn.LET(_xlpm.v,IFERROR(INDEX(_xlfn._xlws.FILTER(模板库!$D$2:$D$1000,(模板库!$B$2:$B$1000=操作台!$F$4)*(模板库!$E$2:$E$1000="item")),14),""),IF(OR(_xlpm.v="",_xlpm.v=0),"",_xlpm.v)),IF(操作台!$B$4="接龙导入",IFERROR(INDEX(计算区!$F$5:$F$25,14),""),IF(COUNTA($L17:$P17)&gt;0,"manual-"&amp;TEXT($A17,"00"),"")))</f>
        <v>i-guests</v>
      </c>
      <c r="C17" s="5" cm="1">
        <f t="array" ref="C17">IF(操作台!$B$4="议程模板",_xlfn.LET(_xlpm.v,IFERROR(INDEX(_xlfn._xlws.FILTER(模板库!$F$2:$F$1000,(模板库!$B$2:$B$1000=操作台!$F$4)*(模板库!$E$2:$E$1000="item")),14),""),IF(OR(_xlpm.v="",_xlpm.v=0),"",_xlpm.v)),IF(操作台!$B$4="接龙导入",IFERROR(INDEX(计算区!$G$5:$G$25,14),""),IF(COUNTA($L17:$P17)&gt;0,1,"")))</f>
        <v>3</v>
      </c>
      <c r="D17" s="5" t="str" cm="1">
        <f t="array" ref="D17">IF(操作台!$B$4="议程模板",_xlfn.LET(_xlpm.v,IFERROR(INDEX(_xlfn._xlws.FILTER(模板库!$G$2:$G$1000,(模板库!$B$2:$B$1000=操作台!$F$4)*(模板库!$E$2:$E$1000="item")),14),""),IF(OR(_xlpm.v="",_xlpm.v=0),"",_xlpm.v)),IF(操作台!$B$4="接龙导入",IFERROR(INDEX(计算区!$H$5:$H$25,14),""),IF(COUNTA($L17:$P17)&gt;0,"手工议程","")))</f>
        <v>精心演讲环节</v>
      </c>
      <c r="E17" s="5" t="str" cm="1">
        <f t="array" ref="E17">IF(操作台!$B$4="议程模板",_xlfn.LET(_xlpm.v,IFERROR(INDEX(_xlfn._xlws.FILTER(模板库!$M$2:$M$1000,(模板库!$B$2:$B$1000=操作台!$F$4)*(模板库!$E$2:$E$1000="item")),14),""),IF(OR(_xlpm.v="",_xlpm.v=0),"",_xlpm.v)),IF(操作台!$B$4="接龙导入",IFERROR(INDEX(计算区!$N$5:$N$25,14),""),IF(COUNTA($L17:$P17)&gt;0,"plain","")))</f>
        <v>plain</v>
      </c>
      <c r="F17" s="27">
        <f>IF($B17="","",IF(COUNTIF($Q$4:$Q16,"*排程*")&gt;0,"",IF(COUNTIF($B$4:$B16,"&lt;&gt;")=0,IF(操作台!$B$4="接龙导入",IF(计算区!$E$7&lt;&gt;"",计算区!$E$7,操作台!$F$10),操作台!$F$10),MAX($R$4:$R16))))</f>
        <v>0.85208333333333319</v>
      </c>
      <c r="G17" s="5" t="str" cm="1">
        <f t="array" ref="G17">IF(操作台!$B$4="议程模板",_xlfn.LET(_xlpm.v,IFERROR(INDEX(_xlfn._xlws.FILTER(模板库!$H$2:$H$1000,(模板库!$B$2:$B$1000=操作台!$F$4)*(模板库!$E$2:$E$1000="item")),14),""),IF(OR(_xlpm.v="",_xlpm.v=0),"",_xlpm.v)),IF(操作台!$B$4="接龙导入",IFERROR(INDEX(计算区!$I$5:$I$25,14),""),""))</f>
        <v>来宾介绍</v>
      </c>
      <c r="H17" s="5" t="str" cm="1">
        <f t="array" ref="H17">IF(操作台!$B$4="议程模板",_xlfn.LET(_xlpm.v,IFERROR(INDEX(_xlfn._xlws.FILTER(模板库!$I$2:$I$1000,(模板库!$B$2:$B$1000=操作台!$F$4)*(模板库!$E$2:$E$1000="item")),14),""),IF(OR(_xlpm.v="",_xlpm.v=0),"",_xlpm.v)),IF(操作台!$B$4="接龙导入","",""))</f>
        <v/>
      </c>
      <c r="I17" s="5" t="str" cm="1">
        <f t="array" ref="I17">IF(操作台!$B$4="议程模板",_xlfn.LET(_xlpm.v,IFERROR(INDEX(_xlfn._xlws.FILTER(模板库!$J$2:$J$1000,(模板库!$B$2:$B$1000=操作台!$F$4)*(模板库!$E$2:$E$1000="item")),14),""),IF(OR(_xlpm.v="",_xlpm.v=0),"",_xlpm.v)),IF(操作台!$B$4="接龙导入",IFERROR(INDEX(计算区!$J$5:$J$25,14),""),""))</f>
        <v>5</v>
      </c>
      <c r="J17" s="5" cm="1">
        <f t="array" ref="J17">IF(操作台!$B$4="议程模板",_xlfn.LET(_xlpm.v,IFERROR(INDEX(_xlfn._xlws.FILTER(模板库!$K$2:$K$1000,(模板库!$B$2:$B$1000=操作台!$F$4)*(模板库!$E$2:$E$1000="item")),14),""),IF(OR(_xlpm.v="",_xlpm.v=0),"",_xlpm.v)),IF(操作台!$B$4="接龙导入",IFERROR(INDEX(计算区!$K$5:$K$25,14),""),""))</f>
        <v>5</v>
      </c>
      <c r="K17" s="5" t="str" cm="1">
        <f t="array" ref="K17">IF(操作台!$B$4="议程模板",_xlfn.LET(_xlpm.v,IFERROR(INDEX(_xlfn._xlws.FILTER(模板库!$L$2:$L$1000,(模板库!$B$2:$B$1000=操作台!$F$4)*(模板库!$E$2:$E$1000="item")),14),""),IF(OR(_xlpm.v="",_xlpm.v=0),"",_xlpm.v)),IF(操作台!$B$4="接龙导入",IFERROR(INDEX(计算区!$M$5:$M$25,14),""),""))</f>
        <v/>
      </c>
      <c r="L17" s="23"/>
      <c r="M17" s="24"/>
      <c r="N17" s="24"/>
      <c r="O17" s="24"/>
      <c r="P17" s="25"/>
      <c r="Q17" s="26" t="str">
        <f>IF($B17="","",_xlfn.LET(_xlpm.m,IF($O17&lt;&gt;"",$O17,$J17),_xlpm.p,IF($P17&lt;&gt;"",$P17,IF($K17="","待定",$K17)),_xlpm.title,IF($L17&lt;&gt;"",$L17,$G17),_xlfn.TEXTJOIN("；",TRUE,IF(_xlpm.title="","缺少标题",""),IF(_xlpm.m="","缺少排程分钟",IF(NOT(ISNUMBER(_xlpm.m)),"排程分钟无效","")),IF(_xlpm.p="待定","负责人待定",""),IF(AND($A17&gt;1,$F17=""),"前序排程中断",""))))</f>
        <v>负责人待定</v>
      </c>
      <c r="R17" s="28">
        <f t="shared" si="0"/>
        <v>0.8555555555555554</v>
      </c>
      <c r="S17">
        <f t="shared" si="1"/>
        <v>1</v>
      </c>
    </row>
    <row r="18" spans="1:19" ht="27" customHeight="1">
      <c r="A18" s="5">
        <v>15</v>
      </c>
      <c r="B18" s="5" t="str" cm="1">
        <f t="array" ref="B18">IF(操作台!$B$4="议程模板",_xlfn.LET(_xlpm.v,IFERROR(INDEX(_xlfn._xlws.FILTER(模板库!$D$2:$D$1000,(模板库!$B$2:$B$1000=操作台!$F$4)*(模板库!$E$2:$E$1000="item")),15),""),IF(OR(_xlpm.v="",_xlpm.v=0),"",_xlpm.v)),IF(操作台!$B$4="接龙导入",IFERROR(INDEX(计算区!$F$5:$F$25,15),""),IF(COUNTA($L18:$P18)&gt;0,"manual-"&amp;TEXT($A18,"00"),"")))</f>
        <v>i-surprise</v>
      </c>
      <c r="C18" s="5" cm="1">
        <f t="array" ref="C18">IF(操作台!$B$4="议程模板",_xlfn.LET(_xlpm.v,IFERROR(INDEX(_xlfn._xlws.FILTER(模板库!$F$2:$F$1000,(模板库!$B$2:$B$1000=操作台!$F$4)*(模板库!$E$2:$E$1000="item")),15),""),IF(OR(_xlpm.v="",_xlpm.v=0),"",_xlpm.v)),IF(操作台!$B$4="接龙导入",IFERROR(INDEX(计算区!$G$5:$G$25,15),""),IF(COUNTA($L18:$P18)&gt;0,1,"")))</f>
        <v>3</v>
      </c>
      <c r="D18" s="5" t="str" cm="1">
        <f t="array" ref="D18">IF(操作台!$B$4="议程模板",_xlfn.LET(_xlpm.v,IFERROR(INDEX(_xlfn._xlws.FILTER(模板库!$G$2:$G$1000,(模板库!$B$2:$B$1000=操作台!$F$4)*(模板库!$E$2:$E$1000="item")),15),""),IF(OR(_xlpm.v="",_xlpm.v=0),"",_xlpm.v)),IF(操作台!$B$4="接龙导入",IFERROR(INDEX(计算区!$H$5:$H$25,15),""),IF(COUNTA($L18:$P18)&gt;0,"手工议程","")))</f>
        <v>精心演讲环节</v>
      </c>
      <c r="E18" s="5" t="str" cm="1">
        <f t="array" ref="E18">IF(操作台!$B$4="议程模板",_xlfn.LET(_xlpm.v,IFERROR(INDEX(_xlfn._xlws.FILTER(模板库!$M$2:$M$1000,(模板库!$B$2:$B$1000=操作台!$F$4)*(模板库!$E$2:$E$1000="item")),15),""),IF(OR(_xlpm.v="",_xlpm.v=0),"",_xlpm.v)),IF(操作台!$B$4="接龙导入",IFERROR(INDEX(计算区!$N$5:$N$25,15),""),IF(COUNTA($L18:$P18)&gt;0,"plain","")))</f>
        <v>plain</v>
      </c>
      <c r="F18" s="27">
        <f>IF($B18="","",IF(COUNTIF($Q$4:$Q17,"*排程*")&gt;0,"",IF(COUNTIF($B$4:$B17,"&lt;&gt;")=0,IF(操作台!$B$4="接龙导入",IF(计算区!$E$7&lt;&gt;"",计算区!$E$7,操作台!$F$10),操作台!$F$10),MAX($R$4:$R17))))</f>
        <v>0.8555555555555554</v>
      </c>
      <c r="G18" s="5" t="str" cm="1">
        <f t="array" ref="G18">IF(操作台!$B$4="议程模板",_xlfn.LET(_xlpm.v,IFERROR(INDEX(_xlfn._xlws.FILTER(模板库!$H$2:$H$1000,(模板库!$B$2:$B$1000=操作台!$F$4)*(模板库!$E$2:$E$1000="item")),15),""),IF(OR(_xlpm.v="",_xlpm.v=0),"",_xlpm.v)),IF(操作台!$B$4="接龙导入",IFERROR(INDEX(计算区!$I$5:$I$25,15),""),""))</f>
        <v>惊喜环节</v>
      </c>
      <c r="H18" s="5" t="str" cm="1">
        <f t="array" ref="H18">IF(操作台!$B$4="议程模板",_xlfn.LET(_xlpm.v,IFERROR(INDEX(_xlfn._xlws.FILTER(模板库!$I$2:$I$1000,(模板库!$B$2:$B$1000=操作台!$F$4)*(模板库!$E$2:$E$1000="item")),15),""),IF(OR(_xlpm.v="",_xlpm.v=0),"",_xlpm.v)),IF(操作台!$B$4="接龙导入","",""))</f>
        <v/>
      </c>
      <c r="I18" s="5" t="str" cm="1">
        <f t="array" ref="I18">IF(操作台!$B$4="议程模板",_xlfn.LET(_xlpm.v,IFERROR(INDEX(_xlfn._xlws.FILTER(模板库!$J$2:$J$1000,(模板库!$B$2:$B$1000=操作台!$F$4)*(模板库!$E$2:$E$1000="item")),15),""),IF(OR(_xlpm.v="",_xlpm.v=0),"",_xlpm.v)),IF(操作台!$B$4="接龙导入",IFERROR(INDEX(计算区!$J$5:$J$25,15),""),""))</f>
        <v>7</v>
      </c>
      <c r="J18" s="5" cm="1">
        <f t="array" ref="J18">IF(操作台!$B$4="议程模板",_xlfn.LET(_xlpm.v,IFERROR(INDEX(_xlfn._xlws.FILTER(模板库!$K$2:$K$1000,(模板库!$B$2:$B$1000=操作台!$F$4)*(模板库!$E$2:$E$1000="item")),15),""),IF(OR(_xlpm.v="",_xlpm.v=0),"",_xlpm.v)),IF(操作台!$B$4="接龙导入",IFERROR(INDEX(计算区!$K$5:$K$25,15),""),""))</f>
        <v>7</v>
      </c>
      <c r="K18" s="5" t="str" cm="1">
        <f t="array" ref="K18">IF(操作台!$B$4="议程模板",_xlfn.LET(_xlpm.v,IFERROR(INDEX(_xlfn._xlws.FILTER(模板库!$L$2:$L$1000,(模板库!$B$2:$B$1000=操作台!$F$4)*(模板库!$E$2:$E$1000="item")),15),""),IF(OR(_xlpm.v="",_xlpm.v=0),"",_xlpm.v)),IF(操作台!$B$4="接龙导入",IFERROR(INDEX(计算区!$M$5:$M$25,15),""),""))</f>
        <v/>
      </c>
      <c r="L18" s="23"/>
      <c r="M18" s="24"/>
      <c r="N18" s="24"/>
      <c r="O18" s="24"/>
      <c r="P18" s="25"/>
      <c r="Q18" s="26" t="str">
        <f>IF($B18="","",_xlfn.LET(_xlpm.m,IF($O18&lt;&gt;"",$O18,$J18),_xlpm.p,IF($P18&lt;&gt;"",$P18,IF($K18="","待定",$K18)),_xlpm.title,IF($L18&lt;&gt;"",$L18,$G18),_xlfn.TEXTJOIN("；",TRUE,IF(_xlpm.title="","缺少标题",""),IF(_xlpm.m="","缺少排程分钟",IF(NOT(ISNUMBER(_xlpm.m)),"排程分钟无效","")),IF(_xlpm.p="待定","负责人待定",""),IF(AND($A18&gt;1,$F18=""),"前序排程中断",""))))</f>
        <v>负责人待定</v>
      </c>
      <c r="R18" s="28">
        <f t="shared" si="0"/>
        <v>0.8604166666666665</v>
      </c>
      <c r="S18">
        <f t="shared" si="1"/>
        <v>1</v>
      </c>
    </row>
    <row r="19" spans="1:19" ht="27" customHeight="1">
      <c r="A19" s="5">
        <v>16</v>
      </c>
      <c r="B19" s="5" t="str" cm="1">
        <f t="array" ref="B19">IF(操作台!$B$4="议程模板",_xlfn.LET(_xlpm.v,IFERROR(INDEX(_xlfn._xlws.FILTER(模板库!$D$2:$D$1000,(模板库!$B$2:$B$1000=操作台!$F$4)*(模板库!$E$2:$E$1000="item")),16),""),IF(OR(_xlpm.v="",_xlpm.v=0),"",_xlpm.v)),IF(操作台!$B$4="接龙导入",IFERROR(INDEX(计算区!$F$5:$F$25,16),""),IF(COUNTA($L19:$P19)&gt;0,"manual-"&amp;TEXT($A19,"00"),"")))</f>
        <v>i-break</v>
      </c>
      <c r="C19" s="5" cm="1">
        <f t="array" ref="C19">IF(操作台!$B$4="议程模板",_xlfn.LET(_xlpm.v,IFERROR(INDEX(_xlfn._xlws.FILTER(模板库!$F$2:$F$1000,(模板库!$B$2:$B$1000=操作台!$F$4)*(模板库!$E$2:$E$1000="item")),16),""),IF(OR(_xlpm.v="",_xlpm.v=0),"",_xlpm.v)),IF(操作台!$B$4="接龙导入",IFERROR(INDEX(计算区!$G$5:$G$25,16),""),IF(COUNTA($L19:$P19)&gt;0,1,"")))</f>
        <v>4</v>
      </c>
      <c r="D19" s="5" t="str" cm="1">
        <f t="array" ref="D19">IF(操作台!$B$4="议程模板",_xlfn.LET(_xlpm.v,IFERROR(INDEX(_xlfn._xlws.FILTER(模板库!$G$2:$G$1000,(模板库!$B$2:$B$1000=操作台!$F$4)*(模板库!$E$2:$E$1000="item")),16),""),IF(OR(_xlpm.v="",_xlpm.v=0),"",_xlpm.v)),IF(操作台!$B$4="接龙导入",IFERROR(INDEX(计算区!$H$5:$H$25,16),""),IF(COUNTA($L19:$P19)&gt;0,"手工议程","")))</f>
        <v>茶歇&amp;会议反馈环节</v>
      </c>
      <c r="E19" s="5" t="str" cm="1">
        <f t="array" ref="E19">IF(操作台!$B$4="议程模板",_xlfn.LET(_xlpm.v,IFERROR(INDEX(_xlfn._xlws.FILTER(模板库!$M$2:$M$1000,(模板库!$B$2:$B$1000=操作台!$F$4)*(模板库!$E$2:$E$1000="item")),16),""),IF(OR(_xlpm.v="",_xlpm.v=0),"",_xlpm.v)),IF(操作台!$B$4="接龙导入",IFERROR(INDEX(计算区!$N$5:$N$25,16),""),IF(COUNTA($L19:$P19)&gt;0,"plain","")))</f>
        <v>break</v>
      </c>
      <c r="F19" s="27">
        <f>IF($B19="","",IF(COUNTIF($Q$4:$Q18,"*排程*")&gt;0,"",IF(COUNTIF($B$4:$B18,"&lt;&gt;")=0,IF(操作台!$B$4="接龙导入",IF(计算区!$E$7&lt;&gt;"",计算区!$E$7,操作台!$F$10),操作台!$F$10),MAX($R$4:$R18))))</f>
        <v>0.8604166666666665</v>
      </c>
      <c r="G19" s="5" t="str" cm="1">
        <f t="array" ref="G19">IF(操作台!$B$4="议程模板",_xlfn.LET(_xlpm.v,IFERROR(INDEX(_xlfn._xlws.FILTER(模板库!$H$2:$H$1000,(模板库!$B$2:$B$1000=操作台!$F$4)*(模板库!$E$2:$E$1000="item")),16),""),IF(OR(_xlpm.v="",_xlpm.v=0),"",_xlpm.v)),IF(操作台!$B$4="接龙导入",IFERROR(INDEX(计算区!$I$5:$I$25,16),""),""))</f>
        <v>茶歇+大合照</v>
      </c>
      <c r="H19" s="5" t="str" cm="1">
        <f t="array" ref="H19">IF(操作台!$B$4="议程模板",_xlfn.LET(_xlpm.v,IFERROR(INDEX(_xlfn._xlws.FILTER(模板库!$I$2:$I$1000,(模板库!$B$2:$B$1000=操作台!$F$4)*(模板库!$E$2:$E$1000="item")),16),""),IF(OR(_xlpm.v="",_xlpm.v=0),"",_xlpm.v)),IF(操作台!$B$4="接龙导入","",""))</f>
        <v/>
      </c>
      <c r="I19" s="5" t="str" cm="1">
        <f t="array" ref="I19">IF(操作台!$B$4="议程模板",_xlfn.LET(_xlpm.v,IFERROR(INDEX(_xlfn._xlws.FILTER(模板库!$J$2:$J$1000,(模板库!$B$2:$B$1000=操作台!$F$4)*(模板库!$E$2:$E$1000="item")),16),""),IF(OR(_xlpm.v="",_xlpm.v=0),"",_xlpm.v)),IF(操作台!$B$4="接龙导入",IFERROR(INDEX(计算区!$J$5:$J$25,16),""),""))</f>
        <v>5</v>
      </c>
      <c r="J19" s="5" cm="1">
        <f t="array" ref="J19">IF(操作台!$B$4="议程模板",_xlfn.LET(_xlpm.v,IFERROR(INDEX(_xlfn._xlws.FILTER(模板库!$K$2:$K$1000,(模板库!$B$2:$B$1000=操作台!$F$4)*(模板库!$E$2:$E$1000="item")),16),""),IF(OR(_xlpm.v="",_xlpm.v=0),"",_xlpm.v)),IF(操作台!$B$4="接龙导入",IFERROR(INDEX(计算区!$K$5:$K$25,16),""),""))</f>
        <v>5</v>
      </c>
      <c r="K19" s="5" t="str" cm="1">
        <f t="array" ref="K19">IF(操作台!$B$4="议程模板",_xlfn.LET(_xlpm.v,IFERROR(INDEX(_xlfn._xlws.FILTER(模板库!$L$2:$L$1000,(模板库!$B$2:$B$1000=操作台!$F$4)*(模板库!$E$2:$E$1000="item")),16),""),IF(OR(_xlpm.v="",_xlpm.v=0),"",_xlpm.v)),IF(操作台!$B$4="接龙导入",IFERROR(INDEX(计算区!$M$5:$M$25,16),""),""))</f>
        <v>全场人员</v>
      </c>
      <c r="L19" s="23"/>
      <c r="M19" s="24"/>
      <c r="N19" s="24"/>
      <c r="O19" s="24"/>
      <c r="P19" s="25"/>
      <c r="Q19" s="26" t="str">
        <f>IF($B19="","",_xlfn.LET(_xlpm.m,IF($O19&lt;&gt;"",$O19,$J19),_xlpm.p,IF($P19&lt;&gt;"",$P19,IF($K19="","待定",$K19)),_xlpm.title,IF($L19&lt;&gt;"",$L19,$G19),_xlfn.TEXTJOIN("；",TRUE,IF(_xlpm.title="","缺少标题",""),IF(_xlpm.m="","缺少排程分钟",IF(NOT(ISNUMBER(_xlpm.m)),"排程分钟无效","")),IF(_xlpm.p="待定","负责人待定",""),IF(AND($A19&gt;1,$F19=""),"前序排程中断",""))))</f>
        <v/>
      </c>
      <c r="R19" s="28">
        <f t="shared" si="0"/>
        <v>0.86388888888888871</v>
      </c>
      <c r="S19">
        <f t="shared" si="1"/>
        <v>1</v>
      </c>
    </row>
    <row r="20" spans="1:19" ht="27" customHeight="1">
      <c r="A20" s="5">
        <v>17</v>
      </c>
      <c r="B20" s="5" t="str" cm="1">
        <f t="array" ref="B20">IF(操作台!$B$4="议程模板",_xlfn.LET(_xlpm.v,IFERROR(INDEX(_xlfn._xlws.FILTER(模板库!$D$2:$D$1000,(模板库!$B$2:$B$1000=操作台!$F$4)*(模板库!$E$2:$E$1000="item")),17),""),IF(OR(_xlpm.v="",_xlpm.v=0),"",_xlpm.v)),IF(操作台!$B$4="接龙导入",IFERROR(INDEX(计算区!$F$5:$F$25,17),""),IF(COUNTA($L20:$P20)&gt;0,"manual-"&amp;TEXT($A20,"00"),"")))</f>
        <v>i-feedback-intro</v>
      </c>
      <c r="C20" s="5" cm="1">
        <f t="array" ref="C20">IF(操作台!$B$4="议程模板",_xlfn.LET(_xlpm.v,IFERROR(INDEX(_xlfn._xlws.FILTER(模板库!$F$2:$F$1000,(模板库!$B$2:$B$1000=操作台!$F$4)*(模板库!$E$2:$E$1000="item")),17),""),IF(OR(_xlpm.v="",_xlpm.v=0),"",_xlpm.v)),IF(操作台!$B$4="接龙导入",IFERROR(INDEX(计算区!$G$5:$G$25,17),""),IF(COUNTA($L20:$P20)&gt;0,1,"")))</f>
        <v>4</v>
      </c>
      <c r="D20" s="5" t="str" cm="1">
        <f t="array" ref="D20">IF(操作台!$B$4="议程模板",_xlfn.LET(_xlpm.v,IFERROR(INDEX(_xlfn._xlws.FILTER(模板库!$G$2:$G$1000,(模板库!$B$2:$B$1000=操作台!$F$4)*(模板库!$E$2:$E$1000="item")),17),""),IF(OR(_xlpm.v="",_xlpm.v=0),"",_xlpm.v)),IF(操作台!$B$4="接龙导入",IFERROR(INDEX(计算区!$H$5:$H$25,17),""),IF(COUNTA($L20:$P20)&gt;0,"手工议程","")))</f>
        <v>茶歇&amp;会议反馈环节</v>
      </c>
      <c r="E20" s="5" t="str" cm="1">
        <f t="array" ref="E20">IF(操作台!$B$4="议程模板",_xlfn.LET(_xlpm.v,IFERROR(INDEX(_xlfn._xlws.FILTER(模板库!$M$2:$M$1000,(模板库!$B$2:$B$1000=操作台!$F$4)*(模板库!$E$2:$E$1000="item")),17),""),IF(OR(_xlpm.v="",_xlpm.v=0),"",_xlpm.v)),IF(操作台!$B$4="接龙导入",IFERROR(INDEX(计算区!$N$5:$N$25,17),""),IF(COUNTA($L20:$P20)&gt;0,"plain","")))</f>
        <v>plain</v>
      </c>
      <c r="F20" s="27">
        <f>IF($B20="","",IF(COUNTIF($Q$4:$Q19,"*排程*")&gt;0,"",IF(COUNTIF($B$4:$B19,"&lt;&gt;")=0,IF(操作台!$B$4="接龙导入",IF(计算区!$E$7&lt;&gt;"",计算区!$E$7,操作台!$F$10),操作台!$F$10),MAX($R$4:$R19))))</f>
        <v>0.86388888888888871</v>
      </c>
      <c r="G20" s="5" t="str" cm="1">
        <f t="array" ref="G20">IF(操作台!$B$4="议程模板",_xlfn.LET(_xlpm.v,IFERROR(INDEX(_xlfn._xlws.FILTER(模板库!$H$2:$H$1000,(模板库!$B$2:$B$1000=操作台!$F$4)*(模板库!$E$2:$E$1000="item")),17),""),IF(OR(_xlpm.v="",_xlpm.v=0),"",_xlpm.v)),IF(操作台!$B$4="接龙导入",IFERROR(INDEX(计算区!$I$5:$I$25,17),""),""))</f>
        <v>总主持人介绍本环节+串场</v>
      </c>
      <c r="H20" s="5" t="str" cm="1">
        <f t="array" ref="H20">IF(操作台!$B$4="议程模板",_xlfn.LET(_xlpm.v,IFERROR(INDEX(_xlfn._xlws.FILTER(模板库!$I$2:$I$1000,(模板库!$B$2:$B$1000=操作台!$F$4)*(模板库!$E$2:$E$1000="item")),17),""),IF(OR(_xlpm.v="",_xlpm.v=0),"",_xlpm.v)),IF(操作台!$B$4="接龙导入","",""))</f>
        <v/>
      </c>
      <c r="I20" s="5" t="str" cm="1">
        <f t="array" ref="I20">IF(操作台!$B$4="议程模板",_xlfn.LET(_xlpm.v,IFERROR(INDEX(_xlfn._xlws.FILTER(模板库!$J$2:$J$1000,(模板库!$B$2:$B$1000=操作台!$F$4)*(模板库!$E$2:$E$1000="item")),17),""),IF(OR(_xlpm.v="",_xlpm.v=0),"",_xlpm.v)),IF(操作台!$B$4="接龙导入",IFERROR(INDEX(计算区!$J$5:$J$25,17),""),""))</f>
        <v>4</v>
      </c>
      <c r="J20" s="5" cm="1">
        <f t="array" ref="J20">IF(操作台!$B$4="议程模板",_xlfn.LET(_xlpm.v,IFERROR(INDEX(_xlfn._xlws.FILTER(模板库!$K$2:$K$1000,(模板库!$B$2:$B$1000=操作台!$F$4)*(模板库!$E$2:$E$1000="item")),17),""),IF(OR(_xlpm.v="",_xlpm.v=0),"",_xlpm.v)),IF(操作台!$B$4="接龙导入",IFERROR(INDEX(计算区!$K$5:$K$25,17),""),""))</f>
        <v>4</v>
      </c>
      <c r="K20" s="5" t="str" cm="1">
        <f t="array" ref="K20">IF(操作台!$B$4="议程模板",_xlfn.LET(_xlpm.v,IFERROR(INDEX(_xlfn._xlws.FILTER(模板库!$L$2:$L$1000,(模板库!$B$2:$B$1000=操作台!$F$4)*(模板库!$E$2:$E$1000="item")),17),""),IF(OR(_xlpm.v="",_xlpm.v=0),"",_xlpm.v)),IF(操作台!$B$4="接龙导入",IFERROR(INDEX(计算区!$M$5:$M$25,17),""),""))</f>
        <v/>
      </c>
      <c r="L20" s="23"/>
      <c r="M20" s="24"/>
      <c r="N20" s="24"/>
      <c r="O20" s="24"/>
      <c r="P20" s="25"/>
      <c r="Q20" s="26" t="str">
        <f>IF($B20="","",_xlfn.LET(_xlpm.m,IF($O20&lt;&gt;"",$O20,$J20),_xlpm.p,IF($P20&lt;&gt;"",$P20,IF($K20="","待定",$K20)),_xlpm.title,IF($L20&lt;&gt;"",$L20,$G20),_xlfn.TEXTJOIN("；",TRUE,IF(_xlpm.title="","缺少标题",""),IF(_xlpm.m="","缺少排程分钟",IF(NOT(ISNUMBER(_xlpm.m)),"排程分钟无效","")),IF(_xlpm.p="待定","负责人待定",""),IF(AND($A20&gt;1,$F20=""),"前序排程中断",""))))</f>
        <v>负责人待定</v>
      </c>
      <c r="R20" s="28">
        <f t="shared" si="0"/>
        <v>0.86666666666666647</v>
      </c>
      <c r="S20">
        <f t="shared" si="1"/>
        <v>1</v>
      </c>
    </row>
    <row r="21" spans="1:19" ht="27" customHeight="1">
      <c r="A21" s="5">
        <v>18</v>
      </c>
      <c r="B21" s="5" t="str" cm="1">
        <f t="array" ref="B21">IF(操作台!$B$4="议程模板",_xlfn.LET(_xlpm.v,IFERROR(INDEX(_xlfn._xlws.FILTER(模板库!$D$2:$D$1000,(模板库!$B$2:$B$1000=操作台!$F$4)*(模板库!$E$2:$E$1000="item")),18),""),IF(OR(_xlpm.v="",_xlpm.v=0),"",_xlpm.v)),IF(操作台!$B$4="接龙导入",IFERROR(INDEX(计算区!$F$5:$F$25,18),""),IF(COUNTA($L21:$P21)&gt;0,"manual-"&amp;TEXT($A21,"00"),"")))</f>
        <v>i-impromptu-eval</v>
      </c>
      <c r="C21" s="5" cm="1">
        <f t="array" ref="C21">IF(操作台!$B$4="议程模板",_xlfn.LET(_xlpm.v,IFERROR(INDEX(_xlfn._xlws.FILTER(模板库!$F$2:$F$1000,(模板库!$B$2:$B$1000=操作台!$F$4)*(模板库!$E$2:$E$1000="item")),18),""),IF(OR(_xlpm.v="",_xlpm.v=0),"",_xlpm.v)),IF(操作台!$B$4="接龙导入",IFERROR(INDEX(计算区!$G$5:$G$25,18),""),IF(COUNTA($L21:$P21)&gt;0,1,"")))</f>
        <v>4</v>
      </c>
      <c r="D21" s="5" t="str" cm="1">
        <f t="array" ref="D21">IF(操作台!$B$4="议程模板",_xlfn.LET(_xlpm.v,IFERROR(INDEX(_xlfn._xlws.FILTER(模板库!$G$2:$G$1000,(模板库!$B$2:$B$1000=操作台!$F$4)*(模板库!$E$2:$E$1000="item")),18),""),IF(OR(_xlpm.v="",_xlpm.v=0),"",_xlpm.v)),IF(操作台!$B$4="接龙导入",IFERROR(INDEX(计算区!$H$5:$H$25,18),""),IF(COUNTA($L21:$P21)&gt;0,"手工议程","")))</f>
        <v>茶歇&amp;会议反馈环节</v>
      </c>
      <c r="E21" s="5" t="str" cm="1">
        <f t="array" ref="E21">IF(操作台!$B$4="议程模板",_xlfn.LET(_xlpm.v,IFERROR(INDEX(_xlfn._xlws.FILTER(模板库!$M$2:$M$1000,(模板库!$B$2:$B$1000=操作台!$F$4)*(模板库!$E$2:$E$1000="item")),18),""),IF(OR(_xlpm.v="",_xlpm.v=0),"",_xlpm.v)),IF(操作台!$B$4="接龙导入",IFERROR(INDEX(计算区!$N$5:$N$25,18),""),IF(COUNTA($L21:$P21)&gt;0,"plain","")))</f>
        <v>impromptu</v>
      </c>
      <c r="F21" s="27">
        <f>IF($B21="","",IF(COUNTIF($Q$4:$Q20,"*排程*")&gt;0,"",IF(COUNTIF($B$4:$B20,"&lt;&gt;")=0,IF(操作台!$B$4="接龙导入",IF(计算区!$E$7&lt;&gt;"",计算区!$E$7,操作台!$F$10),操作台!$F$10),MAX($R$4:$R20))))</f>
        <v>0.86666666666666647</v>
      </c>
      <c r="G21" s="5" t="str" cm="1">
        <f t="array" ref="G21">IF(操作台!$B$4="议程模板",_xlfn.LET(_xlpm.v,IFERROR(INDEX(_xlfn._xlws.FILTER(模板库!$H$2:$H$1000,(模板库!$B$2:$B$1000=操作台!$F$4)*(模板库!$E$2:$E$1000="item")),18),""),IF(OR(_xlpm.v="",_xlpm.v=0),"",_xlpm.v)),IF(操作台!$B$4="接龙导入",IFERROR(INDEX(计算区!$I$5:$I$25,18),""),""))</f>
        <v>即兴点评</v>
      </c>
      <c r="H21" s="5" t="str" cm="1">
        <f t="array" ref="H21">IF(操作台!$B$4="议程模板",_xlfn.LET(_xlpm.v,IFERROR(INDEX(_xlfn._xlws.FILTER(模板库!$I$2:$I$1000,(模板库!$B$2:$B$1000=操作台!$F$4)*(模板库!$E$2:$E$1000="item")),18),""),IF(OR(_xlpm.v="",_xlpm.v=0),"",_xlpm.v)),IF(操作台!$B$4="接龙导入","",""))</f>
        <v/>
      </c>
      <c r="I21" s="5" t="str" cm="1">
        <f t="array" ref="I21">IF(操作台!$B$4="议程模板",_xlfn.LET(_xlpm.v,IFERROR(INDEX(_xlfn._xlws.FILTER(模板库!$J$2:$J$1000,(模板库!$B$2:$B$1000=操作台!$F$4)*(模板库!$E$2:$E$1000="item")),18),""),IF(OR(_xlpm.v="",_xlpm.v=0),"",_xlpm.v)),IF(操作台!$B$4="接龙导入",IFERROR(INDEX(计算区!$J$5:$J$25,18),""),""))</f>
        <v>8</v>
      </c>
      <c r="J21" s="5" cm="1">
        <f t="array" ref="J21">IF(操作台!$B$4="议程模板",_xlfn.LET(_xlpm.v,IFERROR(INDEX(_xlfn._xlws.FILTER(模板库!$K$2:$K$1000,(模板库!$B$2:$B$1000=操作台!$F$4)*(模板库!$E$2:$E$1000="item")),18),""),IF(OR(_xlpm.v="",_xlpm.v=0),"",_xlpm.v)),IF(操作台!$B$4="接龙导入",IFERROR(INDEX(计算区!$K$5:$K$25,18),""),""))</f>
        <v>8</v>
      </c>
      <c r="K21" s="5" t="str" cm="1">
        <f t="array" ref="K21">IF(操作台!$B$4="议程模板",_xlfn.LET(_xlpm.v,IFERROR(INDEX(_xlfn._xlws.FILTER(模板库!$L$2:$L$1000,(模板库!$B$2:$B$1000=操作台!$F$4)*(模板库!$E$2:$E$1000="item")),18),""),IF(OR(_xlpm.v="",_xlpm.v=0),"",_xlpm.v)),IF(操作台!$B$4="接龙导入",IFERROR(INDEX(计算区!$M$5:$M$25,18),""),""))</f>
        <v/>
      </c>
      <c r="L21" s="23"/>
      <c r="M21" s="24"/>
      <c r="N21" s="24"/>
      <c r="O21" s="24"/>
      <c r="P21" s="25"/>
      <c r="Q21" s="26" t="str">
        <f>IF($B21="","",_xlfn.LET(_xlpm.m,IF($O21&lt;&gt;"",$O21,$J21),_xlpm.p,IF($P21&lt;&gt;"",$P21,IF($K21="","待定",$K21)),_xlpm.title,IF($L21&lt;&gt;"",$L21,$G21),_xlfn.TEXTJOIN("；",TRUE,IF(_xlpm.title="","缺少标题",""),IF(_xlpm.m="","缺少排程分钟",IF(NOT(ISNUMBER(_xlpm.m)),"排程分钟无效","")),IF(_xlpm.p="待定","负责人待定",""),IF(AND($A21&gt;1,$F21=""),"前序排程中断",""))))</f>
        <v>负责人待定</v>
      </c>
      <c r="R21" s="28">
        <f t="shared" si="0"/>
        <v>0.87222222222222201</v>
      </c>
      <c r="S21">
        <f t="shared" si="1"/>
        <v>1</v>
      </c>
    </row>
    <row r="22" spans="1:19" ht="27" customHeight="1">
      <c r="A22" s="5">
        <v>19</v>
      </c>
      <c r="B22" s="5" t="str" cm="1">
        <f t="array" ref="B22">IF(操作台!$B$4="议程模板",_xlfn.LET(_xlpm.v,IFERROR(INDEX(_xlfn._xlws.FILTER(模板库!$D$2:$D$1000,(模板库!$B$2:$B$1000=操作台!$F$4)*(模板库!$E$2:$E$1000="item")),19),""),IF(OR(_xlpm.v="",_xlpm.v=0),"",_xlpm.v)),IF(操作台!$B$4="接龙导入",IFERROR(INDEX(计算区!$F$5:$F$25,19),""),IF(COUNTA($L22:$P22)&gt;0,"manual-"&amp;TEXT($A22,"00"),"")))</f>
        <v>i-eval-1</v>
      </c>
      <c r="C22" s="5" cm="1">
        <f t="array" ref="C22">IF(操作台!$B$4="议程模板",_xlfn.LET(_xlpm.v,IFERROR(INDEX(_xlfn._xlws.FILTER(模板库!$F$2:$F$1000,(模板库!$B$2:$B$1000=操作台!$F$4)*(模板库!$E$2:$E$1000="item")),19),""),IF(OR(_xlpm.v="",_xlpm.v=0),"",_xlpm.v)),IF(操作台!$B$4="接龙导入",IFERROR(INDEX(计算区!$G$5:$G$25,19),""),IF(COUNTA($L22:$P22)&gt;0,1,"")))</f>
        <v>4</v>
      </c>
      <c r="D22" s="5" t="str" cm="1">
        <f t="array" ref="D22">IF(操作台!$B$4="议程模板",_xlfn.LET(_xlpm.v,IFERROR(INDEX(_xlfn._xlws.FILTER(模板库!$G$2:$G$1000,(模板库!$B$2:$B$1000=操作台!$F$4)*(模板库!$E$2:$E$1000="item")),19),""),IF(OR(_xlpm.v="",_xlpm.v=0),"",_xlpm.v)),IF(操作台!$B$4="接龙导入",IFERROR(INDEX(计算区!$H$5:$H$25,19),""),IF(COUNTA($L22:$P22)&gt;0,"手工议程","")))</f>
        <v>茶歇&amp;会议反馈环节</v>
      </c>
      <c r="E22" s="5" t="str" cm="1">
        <f t="array" ref="E22">IF(操作台!$B$4="议程模板",_xlfn.LET(_xlpm.v,IFERROR(INDEX(_xlfn._xlws.FILTER(模板库!$M$2:$M$1000,(模板库!$B$2:$B$1000=操作台!$F$4)*(模板库!$E$2:$E$1000="item")),19),""),IF(OR(_xlpm.v="",_xlpm.v=0),"",_xlpm.v)),IF(操作台!$B$4="接龙导入",IFERROR(INDEX(计算区!$N$5:$N$25,19),""),IF(COUNTA($L22:$P22)&gt;0,"plain","")))</f>
        <v>prepared</v>
      </c>
      <c r="F22" s="27">
        <f>IF($B22="","",IF(COUNTIF($Q$4:$Q21,"*排程*")&gt;0,"",IF(COUNTIF($B$4:$B21,"&lt;&gt;")=0,IF(操作台!$B$4="接龙导入",IF(计算区!$E$7&lt;&gt;"",计算区!$E$7,操作台!$F$10),操作台!$F$10),MAX($R$4:$R21))))</f>
        <v>0.87222222222222201</v>
      </c>
      <c r="G22" s="5" t="str" cm="1">
        <f t="array" ref="G22">IF(操作台!$B$4="议程模板",_xlfn.LET(_xlpm.v,IFERROR(INDEX(_xlfn._xlws.FILTER(模板库!$H$2:$H$1000,(模板库!$B$2:$B$1000=操作台!$F$4)*(模板库!$E$2:$E$1000="item")),19),""),IF(OR(_xlpm.v="",_xlpm.v=0),"",_xlpm.v)),IF(操作台!$B$4="接龙导入",IFERROR(INDEX(计算区!$I$5:$I$25,19),""),""))</f>
        <v>备稿点评1</v>
      </c>
      <c r="H22" s="5" t="str" cm="1">
        <f t="array" ref="H22">IF(操作台!$B$4="议程模板",_xlfn.LET(_xlpm.v,IFERROR(INDEX(_xlfn._xlws.FILTER(模板库!$I$2:$I$1000,(模板库!$B$2:$B$1000=操作台!$F$4)*(模板库!$E$2:$E$1000="item")),19),""),IF(OR(_xlpm.v="",_xlpm.v=0),"",_xlpm.v)),IF(操作台!$B$4="接龙导入","",""))</f>
        <v/>
      </c>
      <c r="I22" s="5" t="str" cm="1">
        <f t="array" ref="I22">IF(操作台!$B$4="议程模板",_xlfn.LET(_xlpm.v,IFERROR(INDEX(_xlfn._xlws.FILTER(模板库!$J$2:$J$1000,(模板库!$B$2:$B$1000=操作台!$F$4)*(模板库!$E$2:$E$1000="item")),19),""),IF(OR(_xlpm.v="",_xlpm.v=0),"",_xlpm.v)),IF(操作台!$B$4="接龙导入",IFERROR(INDEX(计算区!$J$5:$J$25,19),""),""))</f>
        <v>3</v>
      </c>
      <c r="J22" s="5" cm="1">
        <f t="array" ref="J22">IF(操作台!$B$4="议程模板",_xlfn.LET(_xlpm.v,IFERROR(INDEX(_xlfn._xlws.FILTER(模板库!$K$2:$K$1000,(模板库!$B$2:$B$1000=操作台!$F$4)*(模板库!$E$2:$E$1000="item")),19),""),IF(OR(_xlpm.v="",_xlpm.v=0),"",_xlpm.v)),IF(操作台!$B$4="接龙导入",IFERROR(INDEX(计算区!$K$5:$K$25,19),""),""))</f>
        <v>3</v>
      </c>
      <c r="K22" s="5" t="str" cm="1">
        <f t="array" ref="K22">IF(操作台!$B$4="议程模板",_xlfn.LET(_xlpm.v,IFERROR(INDEX(_xlfn._xlws.FILTER(模板库!$L$2:$L$1000,(模板库!$B$2:$B$1000=操作台!$F$4)*(模板库!$E$2:$E$1000="item")),19),""),IF(OR(_xlpm.v="",_xlpm.v=0),"",_xlpm.v)),IF(操作台!$B$4="接龙导入",IFERROR(INDEX(计算区!$M$5:$M$25,19),""),""))</f>
        <v/>
      </c>
      <c r="L22" s="23"/>
      <c r="M22" s="24"/>
      <c r="N22" s="24"/>
      <c r="O22" s="24"/>
      <c r="P22" s="25"/>
      <c r="Q22" s="26" t="str">
        <f>IF($B22="","",_xlfn.LET(_xlpm.m,IF($O22&lt;&gt;"",$O22,$J22),_xlpm.p,IF($P22&lt;&gt;"",$P22,IF($K22="","待定",$K22)),_xlpm.title,IF($L22&lt;&gt;"",$L22,$G22),_xlfn.TEXTJOIN("；",TRUE,IF(_xlpm.title="","缺少标题",""),IF(_xlpm.m="","缺少排程分钟",IF(NOT(ISNUMBER(_xlpm.m)),"排程分钟无效","")),IF(_xlpm.p="待定","负责人待定",""),IF(AND($A22&gt;1,$F22=""),"前序排程中断",""))))</f>
        <v>负责人待定</v>
      </c>
      <c r="R22" s="28">
        <f t="shared" si="0"/>
        <v>0.87430555555555534</v>
      </c>
      <c r="S22">
        <f t="shared" si="1"/>
        <v>1</v>
      </c>
    </row>
    <row r="23" spans="1:19" ht="27" customHeight="1">
      <c r="A23" s="5">
        <v>20</v>
      </c>
      <c r="B23" s="5" t="str" cm="1">
        <f t="array" ref="B23">IF(操作台!$B$4="议程模板",_xlfn.LET(_xlpm.v,IFERROR(INDEX(_xlfn._xlws.FILTER(模板库!$D$2:$D$1000,(模板库!$B$2:$B$1000=操作台!$F$4)*(模板库!$E$2:$E$1000="item")),20),""),IF(OR(_xlpm.v="",_xlpm.v=0),"",_xlpm.v)),IF(操作台!$B$4="接龙导入",IFERROR(INDEX(计算区!$F$5:$F$25,20),""),IF(COUNTA($L23:$P23)&gt;0,"manual-"&amp;TEXT($A23,"00"),"")))</f>
        <v>i-eval-2</v>
      </c>
      <c r="C23" s="5" cm="1">
        <f t="array" ref="C23">IF(操作台!$B$4="议程模板",_xlfn.LET(_xlpm.v,IFERROR(INDEX(_xlfn._xlws.FILTER(模板库!$F$2:$F$1000,(模板库!$B$2:$B$1000=操作台!$F$4)*(模板库!$E$2:$E$1000="item")),20),""),IF(OR(_xlpm.v="",_xlpm.v=0),"",_xlpm.v)),IF(操作台!$B$4="接龙导入",IFERROR(INDEX(计算区!$G$5:$G$25,20),""),IF(COUNTA($L23:$P23)&gt;0,1,"")))</f>
        <v>4</v>
      </c>
      <c r="D23" s="5" t="str" cm="1">
        <f t="array" ref="D23">IF(操作台!$B$4="议程模板",_xlfn.LET(_xlpm.v,IFERROR(INDEX(_xlfn._xlws.FILTER(模板库!$G$2:$G$1000,(模板库!$B$2:$B$1000=操作台!$F$4)*(模板库!$E$2:$E$1000="item")),20),""),IF(OR(_xlpm.v="",_xlpm.v=0),"",_xlpm.v)),IF(操作台!$B$4="接龙导入",IFERROR(INDEX(计算区!$H$5:$H$25,20),""),IF(COUNTA($L23:$P23)&gt;0,"手工议程","")))</f>
        <v>茶歇&amp;会议反馈环节</v>
      </c>
      <c r="E23" s="5" t="str" cm="1">
        <f t="array" ref="E23">IF(操作台!$B$4="议程模板",_xlfn.LET(_xlpm.v,IFERROR(INDEX(_xlfn._xlws.FILTER(模板库!$M$2:$M$1000,(模板库!$B$2:$B$1000=操作台!$F$4)*(模板库!$E$2:$E$1000="item")),20),""),IF(OR(_xlpm.v="",_xlpm.v=0),"",_xlpm.v)),IF(操作台!$B$4="接龙导入",IFERROR(INDEX(计算区!$N$5:$N$25,20),""),IF(COUNTA($L23:$P23)&gt;0,"plain","")))</f>
        <v>prepared</v>
      </c>
      <c r="F23" s="27">
        <f>IF($B23="","",IF(COUNTIF($Q$4:$Q22,"*排程*")&gt;0,"",IF(COUNTIF($B$4:$B22,"&lt;&gt;")=0,IF(操作台!$B$4="接龙导入",IF(计算区!$E$7&lt;&gt;"",计算区!$E$7,操作台!$F$10),操作台!$F$10),MAX($R$4:$R22))))</f>
        <v>0.87430555555555534</v>
      </c>
      <c r="G23" s="5" t="str" cm="1">
        <f t="array" ref="G23">IF(操作台!$B$4="议程模板",_xlfn.LET(_xlpm.v,IFERROR(INDEX(_xlfn._xlws.FILTER(模板库!$H$2:$H$1000,(模板库!$B$2:$B$1000=操作台!$F$4)*(模板库!$E$2:$E$1000="item")),20),""),IF(OR(_xlpm.v="",_xlpm.v=0),"",_xlpm.v)),IF(操作台!$B$4="接龙导入",IFERROR(INDEX(计算区!$I$5:$I$25,20),""),""))</f>
        <v>备稿点评2</v>
      </c>
      <c r="H23" s="5" t="str" cm="1">
        <f t="array" ref="H23">IF(操作台!$B$4="议程模板",_xlfn.LET(_xlpm.v,IFERROR(INDEX(_xlfn._xlws.FILTER(模板库!$I$2:$I$1000,(模板库!$B$2:$B$1000=操作台!$F$4)*(模板库!$E$2:$E$1000="item")),20),""),IF(OR(_xlpm.v="",_xlpm.v=0),"",_xlpm.v)),IF(操作台!$B$4="接龙导入","",""))</f>
        <v/>
      </c>
      <c r="I23" s="5" t="str" cm="1">
        <f t="array" ref="I23">IF(操作台!$B$4="议程模板",_xlfn.LET(_xlpm.v,IFERROR(INDEX(_xlfn._xlws.FILTER(模板库!$J$2:$J$1000,(模板库!$B$2:$B$1000=操作台!$F$4)*(模板库!$E$2:$E$1000="item")),20),""),IF(OR(_xlpm.v="",_xlpm.v=0),"",_xlpm.v)),IF(操作台!$B$4="接龙导入",IFERROR(INDEX(计算区!$J$5:$J$25,20),""),""))</f>
        <v>3</v>
      </c>
      <c r="J23" s="5" cm="1">
        <f t="array" ref="J23">IF(操作台!$B$4="议程模板",_xlfn.LET(_xlpm.v,IFERROR(INDEX(_xlfn._xlws.FILTER(模板库!$K$2:$K$1000,(模板库!$B$2:$B$1000=操作台!$F$4)*(模板库!$E$2:$E$1000="item")),20),""),IF(OR(_xlpm.v="",_xlpm.v=0),"",_xlpm.v)),IF(操作台!$B$4="接龙导入",IFERROR(INDEX(计算区!$K$5:$K$25,20),""),""))</f>
        <v>3</v>
      </c>
      <c r="K23" s="5" t="str" cm="1">
        <f t="array" ref="K23">IF(操作台!$B$4="议程模板",_xlfn.LET(_xlpm.v,IFERROR(INDEX(_xlfn._xlws.FILTER(模板库!$L$2:$L$1000,(模板库!$B$2:$B$1000=操作台!$F$4)*(模板库!$E$2:$E$1000="item")),20),""),IF(OR(_xlpm.v="",_xlpm.v=0),"",_xlpm.v)),IF(操作台!$B$4="接龙导入",IFERROR(INDEX(计算区!$M$5:$M$25,20),""),""))</f>
        <v/>
      </c>
      <c r="L23" s="23"/>
      <c r="M23" s="24"/>
      <c r="N23" s="24"/>
      <c r="O23" s="24"/>
      <c r="P23" s="25"/>
      <c r="Q23" s="26" t="str">
        <f>IF($B23="","",_xlfn.LET(_xlpm.m,IF($O23&lt;&gt;"",$O23,$J23),_xlpm.p,IF($P23&lt;&gt;"",$P23,IF($K23="","待定",$K23)),_xlpm.title,IF($L23&lt;&gt;"",$L23,$G23),_xlfn.TEXTJOIN("；",TRUE,IF(_xlpm.title="","缺少标题",""),IF(_xlpm.m="","缺少排程分钟",IF(NOT(ISNUMBER(_xlpm.m)),"排程分钟无效","")),IF(_xlpm.p="待定","负责人待定",""),IF(AND($A23&gt;1,$F23=""),"前序排程中断",""))))</f>
        <v>负责人待定</v>
      </c>
      <c r="R23" s="28">
        <f t="shared" si="0"/>
        <v>0.87638888888888866</v>
      </c>
      <c r="S23">
        <f t="shared" si="1"/>
        <v>1</v>
      </c>
    </row>
    <row r="24" spans="1:19" ht="27" customHeight="1">
      <c r="A24" s="5">
        <v>21</v>
      </c>
      <c r="B24" s="5" t="str" cm="1">
        <f t="array" ref="B24">IF(操作台!$B$4="议程模板",_xlfn.LET(_xlpm.v,IFERROR(INDEX(_xlfn._xlws.FILTER(模板库!$D$2:$D$1000,(模板库!$B$2:$B$1000=操作台!$F$4)*(模板库!$E$2:$E$1000="item")),21),""),IF(OR(_xlpm.v="",_xlpm.v=0),"",_xlpm.v)),IF(操作台!$B$4="接龙导入",IFERROR(INDEX(计算区!$F$5:$F$25,21),""),IF(COUNTA($L24:$P24)&gt;0,"manual-"&amp;TEXT($A24,"00"),"")))</f>
        <v>i-grammar-report</v>
      </c>
      <c r="C24" s="5" cm="1">
        <f t="array" ref="C24">IF(操作台!$B$4="议程模板",_xlfn.LET(_xlpm.v,IFERROR(INDEX(_xlfn._xlws.FILTER(模板库!$F$2:$F$1000,(模板库!$B$2:$B$1000=操作台!$F$4)*(模板库!$E$2:$E$1000="item")),21),""),IF(OR(_xlpm.v="",_xlpm.v=0),"",_xlpm.v)),IF(操作台!$B$4="接龙导入",IFERROR(INDEX(计算区!$G$5:$G$25,21),""),IF(COUNTA($L24:$P24)&gt;0,1,"")))</f>
        <v>4</v>
      </c>
      <c r="D24" s="5" t="str" cm="1">
        <f t="array" ref="D24">IF(操作台!$B$4="议程模板",_xlfn.LET(_xlpm.v,IFERROR(INDEX(_xlfn._xlws.FILTER(模板库!$G$2:$G$1000,(模板库!$B$2:$B$1000=操作台!$F$4)*(模板库!$E$2:$E$1000="item")),21),""),IF(OR(_xlpm.v="",_xlpm.v=0),"",_xlpm.v)),IF(操作台!$B$4="接龙导入",IFERROR(INDEX(计算区!$H$5:$H$25,21),""),IF(COUNTA($L24:$P24)&gt;0,"手工议程","")))</f>
        <v>茶歇&amp;会议反馈环节</v>
      </c>
      <c r="E24" s="5" t="str" cm="1">
        <f t="array" ref="E24">IF(操作台!$B$4="议程模板",_xlfn.LET(_xlpm.v,IFERROR(INDEX(_xlfn._xlws.FILTER(模板库!$M$2:$M$1000,(模板库!$B$2:$B$1000=操作台!$F$4)*(模板库!$E$2:$E$1000="item")),21),""),IF(OR(_xlpm.v="",_xlpm.v=0),"",_xlpm.v)),IF(操作台!$B$4="接龙导入",IFERROR(INDEX(计算区!$N$5:$N$25,21),""),IF(COUNTA($L24:$P24)&gt;0,"plain","")))</f>
        <v>plain</v>
      </c>
      <c r="F24" s="27">
        <f>IF($B24="","",IF(COUNTIF($Q$4:$Q23,"*排程*")&gt;0,"",IF(COUNTIF($B$4:$B23,"&lt;&gt;")=0,IF(操作台!$B$4="接龙导入",IF(计算区!$E$7&lt;&gt;"",计算区!$E$7,操作台!$F$10),操作台!$F$10),MAX($R$4:$R23))))</f>
        <v>0.87638888888888866</v>
      </c>
      <c r="G24" s="5" t="str" cm="1">
        <f t="array" ref="G24">IF(操作台!$B$4="议程模板",_xlfn.LET(_xlpm.v,IFERROR(INDEX(_xlfn._xlws.FILTER(模板库!$H$2:$H$1000,(模板库!$B$2:$B$1000=操作台!$F$4)*(模板库!$E$2:$E$1000="item")),21),""),IF(OR(_xlpm.v="",_xlpm.v=0),"",_xlpm.v)),IF(操作台!$B$4="接龙导入",IFERROR(INDEX(计算区!$I$5:$I$25,21),""),""))</f>
        <v>语法官报告</v>
      </c>
      <c r="H24" s="5" t="str" cm="1">
        <f t="array" ref="H24">IF(操作台!$B$4="议程模板",_xlfn.LET(_xlpm.v,IFERROR(INDEX(_xlfn._xlws.FILTER(模板库!$I$2:$I$1000,(模板库!$B$2:$B$1000=操作台!$F$4)*(模板库!$E$2:$E$1000="item")),21),""),IF(OR(_xlpm.v="",_xlpm.v=0),"",_xlpm.v)),IF(操作台!$B$4="接龙导入","",""))</f>
        <v/>
      </c>
      <c r="I24" s="5" t="str" cm="1">
        <f t="array" ref="I24">IF(操作台!$B$4="议程模板",_xlfn.LET(_xlpm.v,IFERROR(INDEX(_xlfn._xlws.FILTER(模板库!$J$2:$J$1000,(模板库!$B$2:$B$1000=操作台!$F$4)*(模板库!$E$2:$E$1000="item")),21),""),IF(OR(_xlpm.v="",_xlpm.v=0),"",_xlpm.v)),IF(操作台!$B$4="接龙导入",IFERROR(INDEX(计算区!$J$5:$J$25,21),""),""))</f>
        <v>3</v>
      </c>
      <c r="J24" s="5" cm="1">
        <f t="array" ref="J24">IF(操作台!$B$4="议程模板",_xlfn.LET(_xlpm.v,IFERROR(INDEX(_xlfn._xlws.FILTER(模板库!$K$2:$K$1000,(模板库!$B$2:$B$1000=操作台!$F$4)*(模板库!$E$2:$E$1000="item")),21),""),IF(OR(_xlpm.v="",_xlpm.v=0),"",_xlpm.v)),IF(操作台!$B$4="接龙导入",IFERROR(INDEX(计算区!$K$5:$K$25,21),""),""))</f>
        <v>3</v>
      </c>
      <c r="K24" s="5" t="str" cm="1">
        <f t="array" ref="K24">IF(操作台!$B$4="议程模板",_xlfn.LET(_xlpm.v,IFERROR(INDEX(_xlfn._xlws.FILTER(模板库!$L$2:$L$1000,(模板库!$B$2:$B$1000=操作台!$F$4)*(模板库!$E$2:$E$1000="item")),21),""),IF(OR(_xlpm.v="",_xlpm.v=0),"",_xlpm.v)),IF(操作台!$B$4="接龙导入",IFERROR(INDEX(计算区!$M$5:$M$25,21),""),""))</f>
        <v/>
      </c>
      <c r="L24" s="23"/>
      <c r="M24" s="24"/>
      <c r="N24" s="24"/>
      <c r="O24" s="24"/>
      <c r="P24" s="25"/>
      <c r="Q24" s="26" t="str">
        <f>IF($B24="","",_xlfn.LET(_xlpm.m,IF($O24&lt;&gt;"",$O24,$J24),_xlpm.p,IF($P24&lt;&gt;"",$P24,IF($K24="","待定",$K24)),_xlpm.title,IF($L24&lt;&gt;"",$L24,$G24),_xlfn.TEXTJOIN("；",TRUE,IF(_xlpm.title="","缺少标题",""),IF(_xlpm.m="","缺少排程分钟",IF(NOT(ISNUMBER(_xlpm.m)),"排程分钟无效","")),IF(_xlpm.p="待定","负责人待定",""),IF(AND($A24&gt;1,$F24=""),"前序排程中断",""))))</f>
        <v>负责人待定</v>
      </c>
      <c r="R24" s="28">
        <f t="shared" si="0"/>
        <v>0.87847222222222199</v>
      </c>
      <c r="S24">
        <f t="shared" si="1"/>
        <v>1</v>
      </c>
    </row>
    <row r="25" spans="1:19" ht="27" customHeight="1">
      <c r="A25" s="5">
        <v>22</v>
      </c>
      <c r="B25" s="5" t="str" cm="1">
        <f t="array" ref="B25">IF(操作台!$B$4="议程模板",_xlfn.LET(_xlpm.v,IFERROR(INDEX(_xlfn._xlws.FILTER(模板库!$D$2:$D$1000,(模板库!$B$2:$B$1000=操作台!$F$4)*(模板库!$E$2:$E$1000="item")),22),""),IF(OR(_xlpm.v="",_xlpm.v=0),"",_xlpm.v)),IF(操作台!$B$4="接龙导入",IFERROR(INDEX(计算区!$F$5:$F$25,22),""),IF(COUNTA($L25:$P25)&gt;0,"manual-"&amp;TEXT($A25,"00"),"")))</f>
        <v>i-ah-report</v>
      </c>
      <c r="C25" s="5" cm="1">
        <f t="array" ref="C25">IF(操作台!$B$4="议程模板",_xlfn.LET(_xlpm.v,IFERROR(INDEX(_xlfn._xlws.FILTER(模板库!$F$2:$F$1000,(模板库!$B$2:$B$1000=操作台!$F$4)*(模板库!$E$2:$E$1000="item")),22),""),IF(OR(_xlpm.v="",_xlpm.v=0),"",_xlpm.v)),IF(操作台!$B$4="接龙导入",IFERROR(INDEX(计算区!$G$5:$G$25,22),""),IF(COUNTA($L25:$P25)&gt;0,1,"")))</f>
        <v>4</v>
      </c>
      <c r="D25" s="5" t="str" cm="1">
        <f t="array" ref="D25">IF(操作台!$B$4="议程模板",_xlfn.LET(_xlpm.v,IFERROR(INDEX(_xlfn._xlws.FILTER(模板库!$G$2:$G$1000,(模板库!$B$2:$B$1000=操作台!$F$4)*(模板库!$E$2:$E$1000="item")),22),""),IF(OR(_xlpm.v="",_xlpm.v=0),"",_xlpm.v)),IF(操作台!$B$4="接龙导入",IFERROR(INDEX(计算区!$H$5:$H$25,22),""),IF(COUNTA($L25:$P25)&gt;0,"手工议程","")))</f>
        <v>茶歇&amp;会议反馈环节</v>
      </c>
      <c r="E25" s="5" t="str" cm="1">
        <f t="array" ref="E25">IF(操作台!$B$4="议程模板",_xlfn.LET(_xlpm.v,IFERROR(INDEX(_xlfn._xlws.FILTER(模板库!$M$2:$M$1000,(模板库!$B$2:$B$1000=操作台!$F$4)*(模板库!$E$2:$E$1000="item")),22),""),IF(OR(_xlpm.v="",_xlpm.v=0),"",_xlpm.v)),IF(操作台!$B$4="接龙导入",IFERROR(INDEX(计算区!$N$5:$N$25,22),""),IF(COUNTA($L25:$P25)&gt;0,"plain","")))</f>
        <v>plain</v>
      </c>
      <c r="F25" s="27">
        <f>IF($B25="","",IF(COUNTIF($Q$4:$Q24,"*排程*")&gt;0,"",IF(COUNTIF($B$4:$B24,"&lt;&gt;")=0,IF(操作台!$B$4="接龙导入",IF(计算区!$E$7&lt;&gt;"",计算区!$E$7,操作台!$F$10),操作台!$F$10),MAX($R$4:$R24))))</f>
        <v>0.87847222222222199</v>
      </c>
      <c r="G25" s="5" t="str" cm="1">
        <f t="array" ref="G25">IF(操作台!$B$4="议程模板",_xlfn.LET(_xlpm.v,IFERROR(INDEX(_xlfn._xlws.FILTER(模板库!$H$2:$H$1000,(模板库!$B$2:$B$1000=操作台!$F$4)*(模板库!$E$2:$E$1000="item")),22),""),IF(OR(_xlpm.v="",_xlpm.v=0),"",_xlpm.v)),IF(操作台!$B$4="接龙导入",IFERROR(INDEX(计算区!$I$5:$I$25,22),""),""))</f>
        <v>哼哈官报告</v>
      </c>
      <c r="H25" s="5" t="str" cm="1">
        <f t="array" ref="H25">IF(操作台!$B$4="议程模板",_xlfn.LET(_xlpm.v,IFERROR(INDEX(_xlfn._xlws.FILTER(模板库!$I$2:$I$1000,(模板库!$B$2:$B$1000=操作台!$F$4)*(模板库!$E$2:$E$1000="item")),22),""),IF(OR(_xlpm.v="",_xlpm.v=0),"",_xlpm.v)),IF(操作台!$B$4="接龙导入","",""))</f>
        <v/>
      </c>
      <c r="I25" s="5" t="str" cm="1">
        <f t="array" ref="I25">IF(操作台!$B$4="议程模板",_xlfn.LET(_xlpm.v,IFERROR(INDEX(_xlfn._xlws.FILTER(模板库!$J$2:$J$1000,(模板库!$B$2:$B$1000=操作台!$F$4)*(模板库!$E$2:$E$1000="item")),22),""),IF(OR(_xlpm.v="",_xlpm.v=0),"",_xlpm.v)),IF(操作台!$B$4="接龙导入",IFERROR(INDEX(计算区!$J$5:$J$25,22),""),""))</f>
        <v>3</v>
      </c>
      <c r="J25" s="5" cm="1">
        <f t="array" ref="J25">IF(操作台!$B$4="议程模板",_xlfn.LET(_xlpm.v,IFERROR(INDEX(_xlfn._xlws.FILTER(模板库!$K$2:$K$1000,(模板库!$B$2:$B$1000=操作台!$F$4)*(模板库!$E$2:$E$1000="item")),22),""),IF(OR(_xlpm.v="",_xlpm.v=0),"",_xlpm.v)),IF(操作台!$B$4="接龙导入",IFERROR(INDEX(计算区!$K$5:$K$25,22),""),""))</f>
        <v>3</v>
      </c>
      <c r="K25" s="5" t="str" cm="1">
        <f t="array" ref="K25">IF(操作台!$B$4="议程模板",_xlfn.LET(_xlpm.v,IFERROR(INDEX(_xlfn._xlws.FILTER(模板库!$L$2:$L$1000,(模板库!$B$2:$B$1000=操作台!$F$4)*(模板库!$E$2:$E$1000="item")),22),""),IF(OR(_xlpm.v="",_xlpm.v=0),"",_xlpm.v)),IF(操作台!$B$4="接龙导入",IFERROR(INDEX(计算区!$M$5:$M$25,22),""),""))</f>
        <v/>
      </c>
      <c r="L25" s="23"/>
      <c r="M25" s="24"/>
      <c r="N25" s="24"/>
      <c r="O25" s="24"/>
      <c r="P25" s="25"/>
      <c r="Q25" s="26" t="str">
        <f>IF($B25="","",_xlfn.LET(_xlpm.m,IF($O25&lt;&gt;"",$O25,$J25),_xlpm.p,IF($P25&lt;&gt;"",$P25,IF($K25="","待定",$K25)),_xlpm.title,IF($L25&lt;&gt;"",$L25,$G25),_xlfn.TEXTJOIN("；",TRUE,IF(_xlpm.title="","缺少标题",""),IF(_xlpm.m="","缺少排程分钟",IF(NOT(ISNUMBER(_xlpm.m)),"排程分钟无效","")),IF(_xlpm.p="待定","负责人待定",""),IF(AND($A25&gt;1,$F25=""),"前序排程中断",""))))</f>
        <v>负责人待定</v>
      </c>
      <c r="R25" s="28">
        <f t="shared" si="0"/>
        <v>0.88055555555555531</v>
      </c>
      <c r="S25">
        <f t="shared" si="1"/>
        <v>1</v>
      </c>
    </row>
    <row r="26" spans="1:19" ht="27" customHeight="1">
      <c r="A26" s="5">
        <v>23</v>
      </c>
      <c r="B26" s="5" t="str" cm="1">
        <f t="array" ref="B26">IF(操作台!$B$4="议程模板",_xlfn.LET(_xlpm.v,IFERROR(INDEX(_xlfn._xlws.FILTER(模板库!$D$2:$D$1000,(模板库!$B$2:$B$1000=操作台!$F$4)*(模板库!$E$2:$E$1000="item")),23),""),IF(OR(_xlpm.v="",_xlpm.v=0),"",_xlpm.v)),IF(操作台!$B$4="接龙导入",IFERROR(INDEX(计算区!$F$5:$F$25,23),""),IF(COUNTA($L26:$P26)&gt;0,"manual-"&amp;TEXT($A26,"00"),"")))</f>
        <v>i-timer-report</v>
      </c>
      <c r="C26" s="5" cm="1">
        <f t="array" ref="C26">IF(操作台!$B$4="议程模板",_xlfn.LET(_xlpm.v,IFERROR(INDEX(_xlfn._xlws.FILTER(模板库!$F$2:$F$1000,(模板库!$B$2:$B$1000=操作台!$F$4)*(模板库!$E$2:$E$1000="item")),23),""),IF(OR(_xlpm.v="",_xlpm.v=0),"",_xlpm.v)),IF(操作台!$B$4="接龙导入",IFERROR(INDEX(计算区!$G$5:$G$25,23),""),IF(COUNTA($L26:$P26)&gt;0,1,"")))</f>
        <v>4</v>
      </c>
      <c r="D26" s="5" t="str" cm="1">
        <f t="array" ref="D26">IF(操作台!$B$4="议程模板",_xlfn.LET(_xlpm.v,IFERROR(INDEX(_xlfn._xlws.FILTER(模板库!$G$2:$G$1000,(模板库!$B$2:$B$1000=操作台!$F$4)*(模板库!$E$2:$E$1000="item")),23),""),IF(OR(_xlpm.v="",_xlpm.v=0),"",_xlpm.v)),IF(操作台!$B$4="接龙导入",IFERROR(INDEX(计算区!$H$5:$H$25,23),""),IF(COUNTA($L26:$P26)&gt;0,"手工议程","")))</f>
        <v>茶歇&amp;会议反馈环节</v>
      </c>
      <c r="E26" s="5" t="str" cm="1">
        <f t="array" ref="E26">IF(操作台!$B$4="议程模板",_xlfn.LET(_xlpm.v,IFERROR(INDEX(_xlfn._xlws.FILTER(模板库!$M$2:$M$1000,(模板库!$B$2:$B$1000=操作台!$F$4)*(模板库!$E$2:$E$1000="item")),23),""),IF(OR(_xlpm.v="",_xlpm.v=0),"",_xlpm.v)),IF(操作台!$B$4="接龙导入",IFERROR(INDEX(计算区!$N$5:$N$25,23),""),IF(COUNTA($L26:$P26)&gt;0,"plain","")))</f>
        <v>plain</v>
      </c>
      <c r="F26" s="27">
        <f>IF($B26="","",IF(COUNTIF($Q$4:$Q25,"*排程*")&gt;0,"",IF(COUNTIF($B$4:$B25,"&lt;&gt;")=0,IF(操作台!$B$4="接龙导入",IF(计算区!$E$7&lt;&gt;"",计算区!$E$7,操作台!$F$10),操作台!$F$10),MAX($R$4:$R25))))</f>
        <v>0.88055555555555531</v>
      </c>
      <c r="G26" s="5" t="str" cm="1">
        <f t="array" ref="G26">IF(操作台!$B$4="议程模板",_xlfn.LET(_xlpm.v,IFERROR(INDEX(_xlfn._xlws.FILTER(模板库!$H$2:$H$1000,(模板库!$B$2:$B$1000=操作台!$F$4)*(模板库!$E$2:$E$1000="item")),23),""),IF(OR(_xlpm.v="",_xlpm.v=0),"",_xlpm.v)),IF(操作台!$B$4="接龙导入",IFERROR(INDEX(计算区!$I$5:$I$25,23),""),""))</f>
        <v>时间官报告</v>
      </c>
      <c r="H26" s="5" t="str" cm="1">
        <f t="array" ref="H26">IF(操作台!$B$4="议程模板",_xlfn.LET(_xlpm.v,IFERROR(INDEX(_xlfn._xlws.FILTER(模板库!$I$2:$I$1000,(模板库!$B$2:$B$1000=操作台!$F$4)*(模板库!$E$2:$E$1000="item")),23),""),IF(OR(_xlpm.v="",_xlpm.v=0),"",_xlpm.v)),IF(操作台!$B$4="接龙导入","",""))</f>
        <v/>
      </c>
      <c r="I26" s="5" t="str" cm="1">
        <f t="array" ref="I26">IF(操作台!$B$4="议程模板",_xlfn.LET(_xlpm.v,IFERROR(INDEX(_xlfn._xlws.FILTER(模板库!$J$2:$J$1000,(模板库!$B$2:$B$1000=操作台!$F$4)*(模板库!$E$2:$E$1000="item")),23),""),IF(OR(_xlpm.v="",_xlpm.v=0),"",_xlpm.v)),IF(操作台!$B$4="接龙导入",IFERROR(INDEX(计算区!$J$5:$J$25,23),""),""))</f>
        <v>3</v>
      </c>
      <c r="J26" s="5" cm="1">
        <f t="array" ref="J26">IF(操作台!$B$4="议程模板",_xlfn.LET(_xlpm.v,IFERROR(INDEX(_xlfn._xlws.FILTER(模板库!$K$2:$K$1000,(模板库!$B$2:$B$1000=操作台!$F$4)*(模板库!$E$2:$E$1000="item")),23),""),IF(OR(_xlpm.v="",_xlpm.v=0),"",_xlpm.v)),IF(操作台!$B$4="接龙导入",IFERROR(INDEX(计算区!$K$5:$K$25,23),""),""))</f>
        <v>3</v>
      </c>
      <c r="K26" s="5" t="str" cm="1">
        <f t="array" ref="K26">IF(操作台!$B$4="议程模板",_xlfn.LET(_xlpm.v,IFERROR(INDEX(_xlfn._xlws.FILTER(模板库!$L$2:$L$1000,(模板库!$B$2:$B$1000=操作台!$F$4)*(模板库!$E$2:$E$1000="item")),23),""),IF(OR(_xlpm.v="",_xlpm.v=0),"",_xlpm.v)),IF(操作台!$B$4="接龙导入",IFERROR(INDEX(计算区!$M$5:$M$25,23),""),""))</f>
        <v/>
      </c>
      <c r="L26" s="23"/>
      <c r="M26" s="24"/>
      <c r="N26" s="24"/>
      <c r="O26" s="24"/>
      <c r="P26" s="25"/>
      <c r="Q26" s="26" t="str">
        <f>IF($B26="","",_xlfn.LET(_xlpm.m,IF($O26&lt;&gt;"",$O26,$J26),_xlpm.p,IF($P26&lt;&gt;"",$P26,IF($K26="","待定",$K26)),_xlpm.title,IF($L26&lt;&gt;"",$L26,$G26),_xlfn.TEXTJOIN("；",TRUE,IF(_xlpm.title="","缺少标题",""),IF(_xlpm.m="","缺少排程分钟",IF(NOT(ISNUMBER(_xlpm.m)),"排程分钟无效","")),IF(_xlpm.p="待定","负责人待定",""),IF(AND($A26&gt;1,$F26=""),"前序排程中断",""))))</f>
        <v>负责人待定</v>
      </c>
      <c r="R26" s="28">
        <f t="shared" si="0"/>
        <v>0.88263888888888864</v>
      </c>
      <c r="S26">
        <f t="shared" si="1"/>
        <v>1</v>
      </c>
    </row>
    <row r="27" spans="1:19" ht="27" customHeight="1">
      <c r="A27" s="5">
        <v>24</v>
      </c>
      <c r="B27" s="5" t="str" cm="1">
        <f t="array" ref="B27">IF(操作台!$B$4="议程模板",_xlfn.LET(_xlpm.v,IFERROR(INDEX(_xlfn._xlws.FILTER(模板库!$D$2:$D$1000,(模板库!$B$2:$B$1000=操作台!$F$4)*(模板库!$E$2:$E$1000="item")),24),""),IF(OR(_xlpm.v="",_xlpm.v=0),"",_xlpm.v)),IF(操作台!$B$4="接龙导入",IFERROR(INDEX(计算区!$F$5:$F$25,24),""),IF(COUNTA($L27:$P27)&gt;0,"manual-"&amp;TEXT($A27,"00"),"")))</f>
        <v>i-vote</v>
      </c>
      <c r="C27" s="5" cm="1">
        <f t="array" ref="C27">IF(操作台!$B$4="议程模板",_xlfn.LET(_xlpm.v,IFERROR(INDEX(_xlfn._xlws.FILTER(模板库!$F$2:$F$1000,(模板库!$B$2:$B$1000=操作台!$F$4)*(模板库!$E$2:$E$1000="item")),24),""),IF(OR(_xlpm.v="",_xlpm.v=0),"",_xlpm.v)),IF(操作台!$B$4="接龙导入",IFERROR(INDEX(计算区!$G$5:$G$25,24),""),IF(COUNTA($L27:$P27)&gt;0,1,"")))</f>
        <v>4</v>
      </c>
      <c r="D27" s="5" t="str" cm="1">
        <f t="array" ref="D27">IF(操作台!$B$4="议程模板",_xlfn.LET(_xlpm.v,IFERROR(INDEX(_xlfn._xlws.FILTER(模板库!$G$2:$G$1000,(模板库!$B$2:$B$1000=操作台!$F$4)*(模板库!$E$2:$E$1000="item")),24),""),IF(OR(_xlpm.v="",_xlpm.v=0),"",_xlpm.v)),IF(操作台!$B$4="接龙导入",IFERROR(INDEX(计算区!$H$5:$H$25,24),""),IF(COUNTA($L27:$P27)&gt;0,"手工议程","")))</f>
        <v>茶歇&amp;会议反馈环节</v>
      </c>
      <c r="E27" s="5" t="str" cm="1">
        <f t="array" ref="E27">IF(操作台!$B$4="议程模板",_xlfn.LET(_xlpm.v,IFERROR(INDEX(_xlfn._xlws.FILTER(模板库!$M$2:$M$1000,(模板库!$B$2:$B$1000=操作台!$F$4)*(模板库!$E$2:$E$1000="item")),24),""),IF(OR(_xlpm.v="",_xlpm.v=0),"",_xlpm.v)),IF(操作台!$B$4="接龙导入",IFERROR(INDEX(计算区!$N$5:$N$25,24),""),IF(COUNTA($L27:$P27)&gt;0,"plain","")))</f>
        <v>plain</v>
      </c>
      <c r="F27" s="27">
        <f>IF($B27="","",IF(COUNTIF($Q$4:$Q26,"*排程*")&gt;0,"",IF(COUNTIF($B$4:$B26,"&lt;&gt;")=0,IF(操作台!$B$4="接龙导入",IF(计算区!$E$7&lt;&gt;"",计算区!$E$7,操作台!$F$10),操作台!$F$10),MAX($R$4:$R26))))</f>
        <v>0.88263888888888864</v>
      </c>
      <c r="G27" s="5" t="str" cm="1">
        <f t="array" ref="G27">IF(操作台!$B$4="议程模板",_xlfn.LET(_xlpm.v,IFERROR(INDEX(_xlfn._xlws.FILTER(模板库!$H$2:$H$1000,(模板库!$B$2:$B$1000=操作台!$F$4)*(模板库!$E$2:$E$1000="item")),24),""),IF(OR(_xlpm.v="",_xlpm.v=0),"",_xlpm.v)),IF(操作台!$B$4="接龙导入",IFERROR(INDEX(计算区!$I$5:$I$25,24),""),""))</f>
        <v>电子投票</v>
      </c>
      <c r="H27" s="5" t="str" cm="1">
        <f t="array" ref="H27">IF(操作台!$B$4="议程模板",_xlfn.LET(_xlpm.v,IFERROR(INDEX(_xlfn._xlws.FILTER(模板库!$I$2:$I$1000,(模板库!$B$2:$B$1000=操作台!$F$4)*(模板库!$E$2:$E$1000="item")),24),""),IF(OR(_xlpm.v="",_xlpm.v=0),"",_xlpm.v)),IF(操作台!$B$4="接龙导入","",""))</f>
        <v/>
      </c>
      <c r="I27" s="5" t="str" cm="1">
        <f t="array" ref="I27">IF(操作台!$B$4="议程模板",_xlfn.LET(_xlpm.v,IFERROR(INDEX(_xlfn._xlws.FILTER(模板库!$J$2:$J$1000,(模板库!$B$2:$B$1000=操作台!$F$4)*(模板库!$E$2:$E$1000="item")),24),""),IF(OR(_xlpm.v="",_xlpm.v=0),"",_xlpm.v)),IF(操作台!$B$4="接龙导入",IFERROR(INDEX(计算区!$J$5:$J$25,24),""),""))</f>
        <v>1</v>
      </c>
      <c r="J27" s="5" cm="1">
        <f t="array" ref="J27">IF(操作台!$B$4="议程模板",_xlfn.LET(_xlpm.v,IFERROR(INDEX(_xlfn._xlws.FILTER(模板库!$K$2:$K$1000,(模板库!$B$2:$B$1000=操作台!$F$4)*(模板库!$E$2:$E$1000="item")),24),""),IF(OR(_xlpm.v="",_xlpm.v=0),"",_xlpm.v)),IF(操作台!$B$4="接龙导入",IFERROR(INDEX(计算区!$K$5:$K$25,24),""),""))</f>
        <v>1</v>
      </c>
      <c r="K27" s="5" t="str" cm="1">
        <f t="array" ref="K27">IF(操作台!$B$4="议程模板",_xlfn.LET(_xlpm.v,IFERROR(INDEX(_xlfn._xlws.FILTER(模板库!$L$2:$L$1000,(模板库!$B$2:$B$1000=操作台!$F$4)*(模板库!$E$2:$E$1000="item")),24),""),IF(OR(_xlpm.v="",_xlpm.v=0),"",_xlpm.v)),IF(操作台!$B$4="接龙导入",IFERROR(INDEX(计算区!$M$5:$M$25,24),""),""))</f>
        <v/>
      </c>
      <c r="L27" s="23"/>
      <c r="M27" s="24"/>
      <c r="N27" s="24"/>
      <c r="O27" s="24"/>
      <c r="P27" s="25"/>
      <c r="Q27" s="26" t="str">
        <f>IF($B27="","",_xlfn.LET(_xlpm.m,IF($O27&lt;&gt;"",$O27,$J27),_xlpm.p,IF($P27&lt;&gt;"",$P27,IF($K27="","待定",$K27)),_xlpm.title,IF($L27&lt;&gt;"",$L27,$G27),_xlfn.TEXTJOIN("；",TRUE,IF(_xlpm.title="","缺少标题",""),IF(_xlpm.m="","缺少排程分钟",IF(NOT(ISNUMBER(_xlpm.m)),"排程分钟无效","")),IF(_xlpm.p="待定","负责人待定",""),IF(AND($A27&gt;1,$F27=""),"前序排程中断",""))))</f>
        <v>负责人待定</v>
      </c>
      <c r="R27" s="28">
        <f t="shared" si="0"/>
        <v>0.88333333333333308</v>
      </c>
      <c r="S27">
        <f t="shared" si="1"/>
        <v>1</v>
      </c>
    </row>
    <row r="28" spans="1:19" ht="27" customHeight="1">
      <c r="A28" s="5">
        <v>25</v>
      </c>
      <c r="B28" s="5" t="str" cm="1">
        <f t="array" ref="B28">IF(操作台!$B$4="议程模板",_xlfn.LET(_xlpm.v,IFERROR(INDEX(_xlfn._xlws.FILTER(模板库!$D$2:$D$1000,(模板库!$B$2:$B$1000=操作台!$F$4)*(模板库!$E$2:$E$1000="item")),25),""),IF(OR(_xlpm.v="",_xlpm.v=0),"",_xlpm.v)),IF(操作台!$B$4="接龙导入",IFERROR(INDEX(计算区!$F$5:$F$25,25),""),IF(COUNTA($L28:$P28)&gt;0,"manual-"&amp;TEXT($A28,"00"),"")))</f>
        <v>i-general-eval</v>
      </c>
      <c r="C28" s="5" cm="1">
        <f t="array" ref="C28">IF(操作台!$B$4="议程模板",_xlfn.LET(_xlpm.v,IFERROR(INDEX(_xlfn._xlws.FILTER(模板库!$F$2:$F$1000,(模板库!$B$2:$B$1000=操作台!$F$4)*(模板库!$E$2:$E$1000="item")),25),""),IF(OR(_xlpm.v="",_xlpm.v=0),"",_xlpm.v)),IF(操作台!$B$4="接龙导入",IFERROR(INDEX(计算区!$G$5:$G$25,25),""),IF(COUNTA($L28:$P28)&gt;0,1,"")))</f>
        <v>4</v>
      </c>
      <c r="D28" s="5" t="str" cm="1">
        <f t="array" ref="D28">IF(操作台!$B$4="议程模板",_xlfn.LET(_xlpm.v,IFERROR(INDEX(_xlfn._xlws.FILTER(模板库!$G$2:$G$1000,(模板库!$B$2:$B$1000=操作台!$F$4)*(模板库!$E$2:$E$1000="item")),25),""),IF(OR(_xlpm.v="",_xlpm.v=0),"",_xlpm.v)),IF(操作台!$B$4="接龙导入",IFERROR(INDEX(计算区!$H$5:$H$25,25),""),IF(COUNTA($L28:$P28)&gt;0,"手工议程","")))</f>
        <v>茶歇&amp;会议反馈环节</v>
      </c>
      <c r="E28" s="5" t="str" cm="1">
        <f t="array" ref="E28">IF(操作台!$B$4="议程模板",_xlfn.LET(_xlpm.v,IFERROR(INDEX(_xlfn._xlws.FILTER(模板库!$M$2:$M$1000,(模板库!$B$2:$B$1000=操作台!$F$4)*(模板库!$E$2:$E$1000="item")),25),""),IF(OR(_xlpm.v="",_xlpm.v=0),"",_xlpm.v)),IF(操作台!$B$4="接龙导入",IFERROR(INDEX(计算区!$N$5:$N$25,25),""),IF(COUNTA($L28:$P28)&gt;0,"plain","")))</f>
        <v>plain</v>
      </c>
      <c r="F28" s="27">
        <f>IF($B28="","",IF(COUNTIF($Q$4:$Q27,"*排程*")&gt;0,"",IF(COUNTIF($B$4:$B27,"&lt;&gt;")=0,IF(操作台!$B$4="接龙导入",IF(计算区!$E$7&lt;&gt;"",计算区!$E$7,操作台!$F$10),操作台!$F$10),MAX($R$4:$R27))))</f>
        <v>0.88333333333333308</v>
      </c>
      <c r="G28" s="5" t="str" cm="1">
        <f t="array" ref="G28">IF(操作台!$B$4="议程模板",_xlfn.LET(_xlpm.v,IFERROR(INDEX(_xlfn._xlws.FILTER(模板库!$H$2:$H$1000,(模板库!$B$2:$B$1000=操作台!$F$4)*(模板库!$E$2:$E$1000="item")),25),""),IF(OR(_xlpm.v="",_xlpm.v=0),"",_xlpm.v)),IF(操作台!$B$4="接龙导入",IFERROR(INDEX(计算区!$I$5:$I$25,25),""),""))</f>
        <v>总点评</v>
      </c>
      <c r="H28" s="5" t="str" cm="1">
        <f t="array" ref="H28">IF(操作台!$B$4="议程模板",_xlfn.LET(_xlpm.v,IFERROR(INDEX(_xlfn._xlws.FILTER(模板库!$I$2:$I$1000,(模板库!$B$2:$B$1000=操作台!$F$4)*(模板库!$E$2:$E$1000="item")),25),""),IF(OR(_xlpm.v="",_xlpm.v=0),"",_xlpm.v)),IF(操作台!$B$4="接龙导入","",""))</f>
        <v/>
      </c>
      <c r="I28" s="5" t="str" cm="1">
        <f t="array" ref="I28">IF(操作台!$B$4="议程模板",_xlfn.LET(_xlpm.v,IFERROR(INDEX(_xlfn._xlws.FILTER(模板库!$J$2:$J$1000,(模板库!$B$2:$B$1000=操作台!$F$4)*(模板库!$E$2:$E$1000="item")),25),""),IF(OR(_xlpm.v="",_xlpm.v=0),"",_xlpm.v)),IF(操作台!$B$4="接龙导入",IFERROR(INDEX(计算区!$J$5:$J$25,25),""),""))</f>
        <v>8</v>
      </c>
      <c r="J28" s="5" cm="1">
        <f t="array" ref="J28">IF(操作台!$B$4="议程模板",_xlfn.LET(_xlpm.v,IFERROR(INDEX(_xlfn._xlws.FILTER(模板库!$K$2:$K$1000,(模板库!$B$2:$B$1000=操作台!$F$4)*(模板库!$E$2:$E$1000="item")),25),""),IF(OR(_xlpm.v="",_xlpm.v=0),"",_xlpm.v)),IF(操作台!$B$4="接龙导入",IFERROR(INDEX(计算区!$K$5:$K$25,25),""),""))</f>
        <v>8</v>
      </c>
      <c r="K28" s="5" t="str" cm="1">
        <f t="array" ref="K28">IF(操作台!$B$4="议程模板",_xlfn.LET(_xlpm.v,IFERROR(INDEX(_xlfn._xlws.FILTER(模板库!$L$2:$L$1000,(模板库!$B$2:$B$1000=操作台!$F$4)*(模板库!$E$2:$E$1000="item")),25),""),IF(OR(_xlpm.v="",_xlpm.v=0),"",_xlpm.v)),IF(操作台!$B$4="接龙导入",IFERROR(INDEX(计算区!$M$5:$M$25,25),""),""))</f>
        <v/>
      </c>
      <c r="L28" s="23"/>
      <c r="M28" s="24"/>
      <c r="N28" s="24"/>
      <c r="O28" s="24"/>
      <c r="P28" s="25"/>
      <c r="Q28" s="26" t="str">
        <f>IF($B28="","",_xlfn.LET(_xlpm.m,IF($O28&lt;&gt;"",$O28,$J28),_xlpm.p,IF($P28&lt;&gt;"",$P28,IF($K28="","待定",$K28)),_xlpm.title,IF($L28&lt;&gt;"",$L28,$G28),_xlfn.TEXTJOIN("；",TRUE,IF(_xlpm.title="","缺少标题",""),IF(_xlpm.m="","缺少排程分钟",IF(NOT(ISNUMBER(_xlpm.m)),"排程分钟无效","")),IF(_xlpm.p="待定","负责人待定",""),IF(AND($A28&gt;1,$F28=""),"前序排程中断",""))))</f>
        <v>负责人待定</v>
      </c>
      <c r="R28" s="28">
        <f t="shared" si="0"/>
        <v>0.88888888888888862</v>
      </c>
      <c r="S28">
        <f t="shared" si="1"/>
        <v>1</v>
      </c>
    </row>
    <row r="29" spans="1:19" ht="27" customHeight="1">
      <c r="A29" s="5">
        <v>26</v>
      </c>
      <c r="B29" s="5" t="str" cm="1">
        <f t="array" ref="B29">IF(操作台!$B$4="议程模板",_xlfn.LET(_xlpm.v,IFERROR(INDEX(_xlfn._xlws.FILTER(模板库!$D$2:$D$1000,(模板库!$B$2:$B$1000=操作台!$F$4)*(模板库!$E$2:$E$1000="item")),26),""),IF(OR(_xlpm.v="",_xlpm.v=0),"",_xlpm.v)),IF(操作台!$B$4="接龙导入",IFERROR(INDEX(计算区!$F$5:$F$25,26),""),IF(COUNTA($L29:$P29)&gt;0,"manual-"&amp;TEXT($A29,"00"),"")))</f>
        <v>i-award</v>
      </c>
      <c r="C29" s="5" cm="1">
        <f t="array" ref="C29">IF(操作台!$B$4="议程模板",_xlfn.LET(_xlpm.v,IFERROR(INDEX(_xlfn._xlws.FILTER(模板库!$F$2:$F$1000,(模板库!$B$2:$B$1000=操作台!$F$4)*(模板库!$E$2:$E$1000="item")),26),""),IF(OR(_xlpm.v="",_xlpm.v=0),"",_xlpm.v)),IF(操作台!$B$4="接龙导入",IFERROR(INDEX(计算区!$G$5:$G$25,26),""),IF(COUNTA($L29:$P29)&gt;0,1,"")))</f>
        <v>5</v>
      </c>
      <c r="D29" s="5" t="str" cm="1">
        <f t="array" ref="D29">IF(操作台!$B$4="议程模板",_xlfn.LET(_xlpm.v,IFERROR(INDEX(_xlfn._xlws.FILTER(模板库!$G$2:$G$1000,(模板库!$B$2:$B$1000=操作台!$F$4)*(模板库!$E$2:$E$1000="item")),26),""),IF(OR(_xlpm.v="",_xlpm.v=0),"",_xlpm.v)),IF(操作台!$B$4="接龙导入",IFERROR(INDEX(计算区!$H$5:$H$25,26),""),IF(COUNTA($L29:$P29)&gt;0,"手工议程","")))</f>
        <v>分享环节</v>
      </c>
      <c r="E29" s="5" t="str" cm="1">
        <f t="array" ref="E29">IF(操作台!$B$4="议程模板",_xlfn.LET(_xlpm.v,IFERROR(INDEX(_xlfn._xlws.FILTER(模板库!$M$2:$M$1000,(模板库!$B$2:$B$1000=操作台!$F$4)*(模板库!$E$2:$E$1000="item")),26),""),IF(OR(_xlpm.v="",_xlpm.v=0),"",_xlpm.v)),IF(操作台!$B$4="接龙导入",IFERROR(INDEX(计算区!$N$5:$N$25,26),""),IF(COUNTA($L29:$P29)&gt;0,"plain","")))</f>
        <v>plain</v>
      </c>
      <c r="F29" s="27">
        <f>IF($B29="","",IF(COUNTIF($Q$4:$Q28,"*排程*")&gt;0,"",IF(COUNTIF($B$4:$B28,"&lt;&gt;")=0,IF(操作台!$B$4="接龙导入",IF(计算区!$E$7&lt;&gt;"",计算区!$E$7,操作台!$F$10),操作台!$F$10),MAX($R$4:$R28))))</f>
        <v>0.88888888888888862</v>
      </c>
      <c r="G29" s="5" t="str" cm="1">
        <f t="array" ref="G29">IF(操作台!$B$4="议程模板",_xlfn.LET(_xlpm.v,IFERROR(INDEX(_xlfn._xlws.FILTER(模板库!$H$2:$H$1000,(模板库!$B$2:$B$1000=操作台!$F$4)*(模板库!$E$2:$E$1000="item")),26),""),IF(OR(_xlpm.v="",_xlpm.v=0),"",_xlpm.v)),IF(操作台!$B$4="接龙导入",IFERROR(INDEX(计算区!$I$5:$I$25,26),""),""))</f>
        <v>颁奖&amp;真情分享</v>
      </c>
      <c r="H29" s="5" t="str" cm="1">
        <f t="array" ref="H29">IF(操作台!$B$4="议程模板",_xlfn.LET(_xlpm.v,IFERROR(INDEX(_xlfn._xlws.FILTER(模板库!$I$2:$I$1000,(模板库!$B$2:$B$1000=操作台!$F$4)*(模板库!$E$2:$E$1000="item")),26),""),IF(OR(_xlpm.v="",_xlpm.v=0),"",_xlpm.v)),IF(操作台!$B$4="接龙导入","",""))</f>
        <v/>
      </c>
      <c r="I29" s="5" t="str" cm="1">
        <f t="array" ref="I29">IF(操作台!$B$4="议程模板",_xlfn.LET(_xlpm.v,IFERROR(INDEX(_xlfn._xlws.FILTER(模板库!$J$2:$J$1000,(模板库!$B$2:$B$1000=操作台!$F$4)*(模板库!$E$2:$E$1000="item")),26),""),IF(OR(_xlpm.v="",_xlpm.v=0),"",_xlpm.v)),IF(操作台!$B$4="接龙导入",IFERROR(INDEX(计算区!$J$5:$J$25,26),""),""))</f>
        <v>5</v>
      </c>
      <c r="J29" s="5" cm="1">
        <f t="array" ref="J29">IF(操作台!$B$4="议程模板",_xlfn.LET(_xlpm.v,IFERROR(INDEX(_xlfn._xlws.FILTER(模板库!$K$2:$K$1000,(模板库!$B$2:$B$1000=操作台!$F$4)*(模板库!$E$2:$E$1000="item")),26),""),IF(OR(_xlpm.v="",_xlpm.v=0),"",_xlpm.v)),IF(操作台!$B$4="接龙导入",IFERROR(INDEX(计算区!$K$5:$K$25,26),""),""))</f>
        <v>5</v>
      </c>
      <c r="K29" s="5" t="str" cm="1">
        <f t="array" ref="K29">IF(操作台!$B$4="议程模板",_xlfn.LET(_xlpm.v,IFERROR(INDEX(_xlfn._xlws.FILTER(模板库!$L$2:$L$1000,(模板库!$B$2:$B$1000=操作台!$F$4)*(模板库!$E$2:$E$1000="item")),26),""),IF(OR(_xlpm.v="",_xlpm.v=0),"",_xlpm.v)),IF(操作台!$B$4="接龙导入",IFERROR(INDEX(计算区!$M$5:$M$25,26),""),""))</f>
        <v/>
      </c>
      <c r="L29" s="23"/>
      <c r="M29" s="24"/>
      <c r="N29" s="24"/>
      <c r="O29" s="24"/>
      <c r="P29" s="25"/>
      <c r="Q29" s="26" t="str">
        <f>IF($B29="","",_xlfn.LET(_xlpm.m,IF($O29&lt;&gt;"",$O29,$J29),_xlpm.p,IF($P29&lt;&gt;"",$P29,IF($K29="","待定",$K29)),_xlpm.title,IF($L29&lt;&gt;"",$L29,$G29),_xlfn.TEXTJOIN("；",TRUE,IF(_xlpm.title="","缺少标题",""),IF(_xlpm.m="","缺少排程分钟",IF(NOT(ISNUMBER(_xlpm.m)),"排程分钟无效","")),IF(_xlpm.p="待定","负责人待定",""),IF(AND($A29&gt;1,$F29=""),"前序排程中断",""))))</f>
        <v>负责人待定</v>
      </c>
      <c r="R29" s="28">
        <f t="shared" si="0"/>
        <v>0.89236111111111083</v>
      </c>
      <c r="S29">
        <f t="shared" si="1"/>
        <v>1</v>
      </c>
    </row>
    <row r="30" spans="1:19" ht="27" customHeight="1">
      <c r="A30" s="5">
        <v>27</v>
      </c>
      <c r="B30" s="5" t="str" cm="1">
        <f t="array" ref="B30">IF(操作台!$B$4="议程模板",_xlfn.LET(_xlpm.v,IFERROR(INDEX(_xlfn._xlws.FILTER(模板库!$D$2:$D$1000,(模板库!$B$2:$B$1000=操作台!$F$4)*(模板库!$E$2:$E$1000="item")),27),""),IF(OR(_xlpm.v="",_xlpm.v=0),"",_xlpm.v)),IF(操作台!$B$4="接龙导入",IFERROR(INDEX(计算区!$F$5:$F$25,27),""),IF(COUNTA($L30:$P30)&gt;0,"manual-"&amp;TEXT($A30,"00"),"")))</f>
        <v>i-close</v>
      </c>
      <c r="C30" s="5" cm="1">
        <f t="array" ref="C30">IF(操作台!$B$4="议程模板",_xlfn.LET(_xlpm.v,IFERROR(INDEX(_xlfn._xlws.FILTER(模板库!$F$2:$F$1000,(模板库!$B$2:$B$1000=操作台!$F$4)*(模板库!$E$2:$E$1000="item")),27),""),IF(OR(_xlpm.v="",_xlpm.v=0),"",_xlpm.v)),IF(操作台!$B$4="接龙导入",IFERROR(INDEX(计算区!$G$5:$G$25,27),""),IF(COUNTA($L30:$P30)&gt;0,1,"")))</f>
        <v>5</v>
      </c>
      <c r="D30" s="5" t="str" cm="1">
        <f t="array" ref="D30">IF(操作台!$B$4="议程模板",_xlfn.LET(_xlpm.v,IFERROR(INDEX(_xlfn._xlws.FILTER(模板库!$G$2:$G$1000,(模板库!$B$2:$B$1000=操作台!$F$4)*(模板库!$E$2:$E$1000="item")),27),""),IF(OR(_xlpm.v="",_xlpm.v=0),"",_xlpm.v)),IF(操作台!$B$4="接龙导入",IFERROR(INDEX(计算区!$H$5:$H$25,27),""),IF(COUNTA($L30:$P30)&gt;0,"手工议程","")))</f>
        <v>分享环节</v>
      </c>
      <c r="E30" s="5" t="str" cm="1">
        <f t="array" ref="E30">IF(操作台!$B$4="议程模板",_xlfn.LET(_xlpm.v,IFERROR(INDEX(_xlfn._xlws.FILTER(模板库!$M$2:$M$1000,(模板库!$B$2:$B$1000=操作台!$F$4)*(模板库!$E$2:$E$1000="item")),27),""),IF(OR(_xlpm.v="",_xlpm.v=0),"",_xlpm.v)),IF(操作台!$B$4="接龙导入",IFERROR(INDEX(计算区!$N$5:$N$25,27),""),IF(COUNTA($L30:$P30)&gt;0,"plain","")))</f>
        <v>plain</v>
      </c>
      <c r="F30" s="27">
        <f>IF($B30="","",IF(COUNTIF($Q$4:$Q29,"*排程*")&gt;0,"",IF(COUNTIF($B$4:$B29,"&lt;&gt;")=0,IF(操作台!$B$4="接龙导入",IF(计算区!$E$7&lt;&gt;"",计算区!$E$7,操作台!$F$10),操作台!$F$10),MAX($R$4:$R29))))</f>
        <v>0.89236111111111083</v>
      </c>
      <c r="G30" s="5" t="str" cm="1">
        <f t="array" ref="G30">IF(操作台!$B$4="议程模板",_xlfn.LET(_xlpm.v,IFERROR(INDEX(_xlfn._xlws.FILTER(模板库!$H$2:$H$1000,(模板库!$B$2:$B$1000=操作台!$F$4)*(模板库!$E$2:$E$1000="item")),27),""),IF(OR(_xlpm.v="",_xlpm.v=0),"",_xlpm.v)),IF(操作台!$B$4="接龙导入",IFERROR(INDEX(计算区!$I$5:$I$25,27),""),""))</f>
        <v>主席总结本期活动，结束会议</v>
      </c>
      <c r="H30" s="5" t="str" cm="1">
        <f t="array" ref="H30">IF(操作台!$B$4="议程模板",_xlfn.LET(_xlpm.v,IFERROR(INDEX(_xlfn._xlws.FILTER(模板库!$I$2:$I$1000,(模板库!$B$2:$B$1000=操作台!$F$4)*(模板库!$E$2:$E$1000="item")),27),""),IF(OR(_xlpm.v="",_xlpm.v=0),"",_xlpm.v)),IF(操作台!$B$4="接龙导入","",""))</f>
        <v/>
      </c>
      <c r="I30" s="5" t="str" cm="1">
        <f t="array" ref="I30">IF(操作台!$B$4="议程模板",_xlfn.LET(_xlpm.v,IFERROR(INDEX(_xlfn._xlws.FILTER(模板库!$J$2:$J$1000,(模板库!$B$2:$B$1000=操作台!$F$4)*(模板库!$E$2:$E$1000="item")),27),""),IF(OR(_xlpm.v="",_xlpm.v=0),"",_xlpm.v)),IF(操作台!$B$4="接龙导入",IFERROR(INDEX(计算区!$J$5:$J$25,27),""),""))</f>
        <v>1</v>
      </c>
      <c r="J30" s="5" cm="1">
        <f t="array" ref="J30">IF(操作台!$B$4="议程模板",_xlfn.LET(_xlpm.v,IFERROR(INDEX(_xlfn._xlws.FILTER(模板库!$K$2:$K$1000,(模板库!$B$2:$B$1000=操作台!$F$4)*(模板库!$E$2:$E$1000="item")),27),""),IF(OR(_xlpm.v="",_xlpm.v=0),"",_xlpm.v)),IF(操作台!$B$4="接龙导入",IFERROR(INDEX(计算区!$K$5:$K$25,27),""),""))</f>
        <v>1</v>
      </c>
      <c r="K30" s="5" t="str" cm="1">
        <f t="array" ref="K30">IF(操作台!$B$4="议程模板",_xlfn.LET(_xlpm.v,IFERROR(INDEX(_xlfn._xlws.FILTER(模板库!$L$2:$L$1000,(模板库!$B$2:$B$1000=操作台!$F$4)*(模板库!$E$2:$E$1000="item")),27),""),IF(OR(_xlpm.v="",_xlpm.v=0),"",_xlpm.v)),IF(操作台!$B$4="接龙导入",IFERROR(INDEX(计算区!$M$5:$M$25,27),""),""))</f>
        <v/>
      </c>
      <c r="L30" s="23"/>
      <c r="M30" s="24"/>
      <c r="N30" s="24"/>
      <c r="O30" s="24"/>
      <c r="P30" s="25"/>
      <c r="Q30" s="26" t="str">
        <f>IF($B30="","",_xlfn.LET(_xlpm.m,IF($O30&lt;&gt;"",$O30,$J30),_xlpm.p,IF($P30&lt;&gt;"",$P30,IF($K30="","待定",$K30)),_xlpm.title,IF($L30&lt;&gt;"",$L30,$G30),_xlfn.TEXTJOIN("；",TRUE,IF(_xlpm.title="","缺少标题",""),IF(_xlpm.m="","缺少排程分钟",IF(NOT(ISNUMBER(_xlpm.m)),"排程分钟无效","")),IF(_xlpm.p="待定","负责人待定",""),IF(AND($A30&gt;1,$F30=""),"前序排程中断",""))))</f>
        <v>负责人待定</v>
      </c>
      <c r="R30" s="28">
        <f t="shared" si="0"/>
        <v>0.89305555555555527</v>
      </c>
      <c r="S30">
        <f t="shared" si="1"/>
        <v>1</v>
      </c>
    </row>
    <row r="31" spans="1:19" ht="27" customHeight="1">
      <c r="A31" s="5">
        <v>28</v>
      </c>
      <c r="B31" s="5" t="str" cm="1">
        <f t="array" ref="B31">IF(操作台!$B$4="议程模板",_xlfn.LET(_xlpm.v,IFERROR(INDEX(_xlfn._xlws.FILTER(模板库!$D$2:$D$1000,(模板库!$B$2:$B$1000=操作台!$F$4)*(模板库!$E$2:$E$1000="item")),28),""),IF(OR(_xlpm.v="",_xlpm.v=0),"",_xlpm.v)),IF(操作台!$B$4="接龙导入",IFERROR(INDEX(计算区!$F$5:$F$25,28),""),IF(COUNTA($L31:$P31)&gt;0,"manual-"&amp;TEXT($A31,"00"),"")))</f>
        <v/>
      </c>
      <c r="C31" s="5" t="str" cm="1">
        <f t="array" ref="C31">IF(操作台!$B$4="议程模板",_xlfn.LET(_xlpm.v,IFERROR(INDEX(_xlfn._xlws.FILTER(模板库!$F$2:$F$1000,(模板库!$B$2:$B$1000=操作台!$F$4)*(模板库!$E$2:$E$1000="item")),28),""),IF(OR(_xlpm.v="",_xlpm.v=0),"",_xlpm.v)),IF(操作台!$B$4="接龙导入",IFERROR(INDEX(计算区!$G$5:$G$25,28),""),IF(COUNTA($L31:$P31)&gt;0,1,"")))</f>
        <v/>
      </c>
      <c r="D31" s="5" t="str" cm="1">
        <f t="array" ref="D31">IF(操作台!$B$4="议程模板",_xlfn.LET(_xlpm.v,IFERROR(INDEX(_xlfn._xlws.FILTER(模板库!$G$2:$G$1000,(模板库!$B$2:$B$1000=操作台!$F$4)*(模板库!$E$2:$E$1000="item")),28),""),IF(OR(_xlpm.v="",_xlpm.v=0),"",_xlpm.v)),IF(操作台!$B$4="接龙导入",IFERROR(INDEX(计算区!$H$5:$H$25,28),""),IF(COUNTA($L31:$P31)&gt;0,"手工议程","")))</f>
        <v/>
      </c>
      <c r="E31" s="5" t="str" cm="1">
        <f t="array" ref="E31">IF(操作台!$B$4="议程模板",_xlfn.LET(_xlpm.v,IFERROR(INDEX(_xlfn._xlws.FILTER(模板库!$M$2:$M$1000,(模板库!$B$2:$B$1000=操作台!$F$4)*(模板库!$E$2:$E$1000="item")),28),""),IF(OR(_xlpm.v="",_xlpm.v=0),"",_xlpm.v)),IF(操作台!$B$4="接龙导入",IFERROR(INDEX(计算区!$N$5:$N$25,28),""),IF(COUNTA($L31:$P31)&gt;0,"plain","")))</f>
        <v/>
      </c>
      <c r="F31" s="27" t="str">
        <f>IF($B31="","",IF(COUNTIF($Q$4:$Q30,"*排程*")&gt;0,"",IF(COUNTIF($B$4:$B30,"&lt;&gt;")=0,IF(操作台!$B$4="接龙导入",IF(计算区!$E$7&lt;&gt;"",计算区!$E$7,操作台!$F$10),操作台!$F$10),MAX($R$4:$R30))))</f>
        <v/>
      </c>
      <c r="G31" s="5" t="str" cm="1">
        <f t="array" ref="G31">IF(操作台!$B$4="议程模板",_xlfn.LET(_xlpm.v,IFERROR(INDEX(_xlfn._xlws.FILTER(模板库!$H$2:$H$1000,(模板库!$B$2:$B$1000=操作台!$F$4)*(模板库!$E$2:$E$1000="item")),28),""),IF(OR(_xlpm.v="",_xlpm.v=0),"",_xlpm.v)),IF(操作台!$B$4="接龙导入",IFERROR(INDEX(计算区!$I$5:$I$25,28),""),""))</f>
        <v/>
      </c>
      <c r="H31" s="5" t="str" cm="1">
        <f t="array" ref="H31">IF(操作台!$B$4="议程模板",_xlfn.LET(_xlpm.v,IFERROR(INDEX(_xlfn._xlws.FILTER(模板库!$I$2:$I$1000,(模板库!$B$2:$B$1000=操作台!$F$4)*(模板库!$E$2:$E$1000="item")),28),""),IF(OR(_xlpm.v="",_xlpm.v=0),"",_xlpm.v)),IF(操作台!$B$4="接龙导入","",""))</f>
        <v/>
      </c>
      <c r="I31" s="5" t="str" cm="1">
        <f t="array" ref="I31">IF(操作台!$B$4="议程模板",_xlfn.LET(_xlpm.v,IFERROR(INDEX(_xlfn._xlws.FILTER(模板库!$J$2:$J$1000,(模板库!$B$2:$B$1000=操作台!$F$4)*(模板库!$E$2:$E$1000="item")),28),""),IF(OR(_xlpm.v="",_xlpm.v=0),"",_xlpm.v)),IF(操作台!$B$4="接龙导入",IFERROR(INDEX(计算区!$J$5:$J$25,28),""),""))</f>
        <v/>
      </c>
      <c r="J31" s="5" t="str" cm="1">
        <f t="array" ref="J31">IF(操作台!$B$4="议程模板",_xlfn.LET(_xlpm.v,IFERROR(INDEX(_xlfn._xlws.FILTER(模板库!$K$2:$K$1000,(模板库!$B$2:$B$1000=操作台!$F$4)*(模板库!$E$2:$E$1000="item")),28),""),IF(OR(_xlpm.v="",_xlpm.v=0),"",_xlpm.v)),IF(操作台!$B$4="接龙导入",IFERROR(INDEX(计算区!$K$5:$K$25,28),""),""))</f>
        <v/>
      </c>
      <c r="K31" s="5" t="str" cm="1">
        <f t="array" ref="K31">IF(操作台!$B$4="议程模板",_xlfn.LET(_xlpm.v,IFERROR(INDEX(_xlfn._xlws.FILTER(模板库!$L$2:$L$1000,(模板库!$B$2:$B$1000=操作台!$F$4)*(模板库!$E$2:$E$1000="item")),28),""),IF(OR(_xlpm.v="",_xlpm.v=0),"",_xlpm.v)),IF(操作台!$B$4="接龙导入",IFERROR(INDEX(计算区!$M$5:$M$25,28),""),""))</f>
        <v/>
      </c>
      <c r="L31" s="23"/>
      <c r="M31" s="24"/>
      <c r="N31" s="24"/>
      <c r="O31" s="24"/>
      <c r="P31" s="25"/>
      <c r="Q31" s="26" t="str">
        <f>IF($B31="","",_xlfn.LET(_xlpm.m,IF($O31&lt;&gt;"",$O31,$J31),_xlpm.p,IF($P31&lt;&gt;"",$P31,IF($K31="","待定",$K31)),_xlpm.title,IF($L31&lt;&gt;"",$L31,$G31),_xlfn.TEXTJOIN("；",TRUE,IF(_xlpm.title="","缺少标题",""),IF(_xlpm.m="","缺少排程分钟",IF(NOT(ISNUMBER(_xlpm.m)),"排程分钟无效","")),IF(_xlpm.p="待定","负责人待定",""),IF(AND($A31&gt;1,$F31=""),"前序排程中断",""))))</f>
        <v/>
      </c>
      <c r="R31" s="28" t="str">
        <f t="shared" si="0"/>
        <v/>
      </c>
      <c r="S31">
        <f t="shared" si="1"/>
        <v>0</v>
      </c>
    </row>
    <row r="32" spans="1:19" ht="27" customHeight="1">
      <c r="A32" s="5">
        <v>29</v>
      </c>
      <c r="B32" s="5" t="str" cm="1">
        <f t="array" ref="B32">IF(操作台!$B$4="议程模板",_xlfn.LET(_xlpm.v,IFERROR(INDEX(_xlfn._xlws.FILTER(模板库!$D$2:$D$1000,(模板库!$B$2:$B$1000=操作台!$F$4)*(模板库!$E$2:$E$1000="item")),29),""),IF(OR(_xlpm.v="",_xlpm.v=0),"",_xlpm.v)),IF(操作台!$B$4="接龙导入",IFERROR(INDEX(计算区!$F$5:$F$25,29),""),IF(COUNTA($L32:$P32)&gt;0,"manual-"&amp;TEXT($A32,"00"),"")))</f>
        <v/>
      </c>
      <c r="C32" s="5" t="str" cm="1">
        <f t="array" ref="C32">IF(操作台!$B$4="议程模板",_xlfn.LET(_xlpm.v,IFERROR(INDEX(_xlfn._xlws.FILTER(模板库!$F$2:$F$1000,(模板库!$B$2:$B$1000=操作台!$F$4)*(模板库!$E$2:$E$1000="item")),29),""),IF(OR(_xlpm.v="",_xlpm.v=0),"",_xlpm.v)),IF(操作台!$B$4="接龙导入",IFERROR(INDEX(计算区!$G$5:$G$25,29),""),IF(COUNTA($L32:$P32)&gt;0,1,"")))</f>
        <v/>
      </c>
      <c r="D32" s="5" t="str" cm="1">
        <f t="array" ref="D32">IF(操作台!$B$4="议程模板",_xlfn.LET(_xlpm.v,IFERROR(INDEX(_xlfn._xlws.FILTER(模板库!$G$2:$G$1000,(模板库!$B$2:$B$1000=操作台!$F$4)*(模板库!$E$2:$E$1000="item")),29),""),IF(OR(_xlpm.v="",_xlpm.v=0),"",_xlpm.v)),IF(操作台!$B$4="接龙导入",IFERROR(INDEX(计算区!$H$5:$H$25,29),""),IF(COUNTA($L32:$P32)&gt;0,"手工议程","")))</f>
        <v/>
      </c>
      <c r="E32" s="5" t="str" cm="1">
        <f t="array" ref="E32">IF(操作台!$B$4="议程模板",_xlfn.LET(_xlpm.v,IFERROR(INDEX(_xlfn._xlws.FILTER(模板库!$M$2:$M$1000,(模板库!$B$2:$B$1000=操作台!$F$4)*(模板库!$E$2:$E$1000="item")),29),""),IF(OR(_xlpm.v="",_xlpm.v=0),"",_xlpm.v)),IF(操作台!$B$4="接龙导入",IFERROR(INDEX(计算区!$N$5:$N$25,29),""),IF(COUNTA($L32:$P32)&gt;0,"plain","")))</f>
        <v/>
      </c>
      <c r="F32" s="27" t="str">
        <f>IF($B32="","",IF(COUNTIF($Q$4:$Q31,"*排程*")&gt;0,"",IF(COUNTIF($B$4:$B31,"&lt;&gt;")=0,IF(操作台!$B$4="接龙导入",IF(计算区!$E$7&lt;&gt;"",计算区!$E$7,操作台!$F$10),操作台!$F$10),MAX($R$4:$R31))))</f>
        <v/>
      </c>
      <c r="G32" s="5" t="str" cm="1">
        <f t="array" ref="G32">IF(操作台!$B$4="议程模板",_xlfn.LET(_xlpm.v,IFERROR(INDEX(_xlfn._xlws.FILTER(模板库!$H$2:$H$1000,(模板库!$B$2:$B$1000=操作台!$F$4)*(模板库!$E$2:$E$1000="item")),29),""),IF(OR(_xlpm.v="",_xlpm.v=0),"",_xlpm.v)),IF(操作台!$B$4="接龙导入",IFERROR(INDEX(计算区!$I$5:$I$25,29),""),""))</f>
        <v/>
      </c>
      <c r="H32" s="5" t="str" cm="1">
        <f t="array" ref="H32">IF(操作台!$B$4="议程模板",_xlfn.LET(_xlpm.v,IFERROR(INDEX(_xlfn._xlws.FILTER(模板库!$I$2:$I$1000,(模板库!$B$2:$B$1000=操作台!$F$4)*(模板库!$E$2:$E$1000="item")),29),""),IF(OR(_xlpm.v="",_xlpm.v=0),"",_xlpm.v)),IF(操作台!$B$4="接龙导入","",""))</f>
        <v/>
      </c>
      <c r="I32" s="5" t="str" cm="1">
        <f t="array" ref="I32">IF(操作台!$B$4="议程模板",_xlfn.LET(_xlpm.v,IFERROR(INDEX(_xlfn._xlws.FILTER(模板库!$J$2:$J$1000,(模板库!$B$2:$B$1000=操作台!$F$4)*(模板库!$E$2:$E$1000="item")),29),""),IF(OR(_xlpm.v="",_xlpm.v=0),"",_xlpm.v)),IF(操作台!$B$4="接龙导入",IFERROR(INDEX(计算区!$J$5:$J$25,29),""),""))</f>
        <v/>
      </c>
      <c r="J32" s="5" t="str" cm="1">
        <f t="array" ref="J32">IF(操作台!$B$4="议程模板",_xlfn.LET(_xlpm.v,IFERROR(INDEX(_xlfn._xlws.FILTER(模板库!$K$2:$K$1000,(模板库!$B$2:$B$1000=操作台!$F$4)*(模板库!$E$2:$E$1000="item")),29),""),IF(OR(_xlpm.v="",_xlpm.v=0),"",_xlpm.v)),IF(操作台!$B$4="接龙导入",IFERROR(INDEX(计算区!$K$5:$K$25,29),""),""))</f>
        <v/>
      </c>
      <c r="K32" s="5" t="str" cm="1">
        <f t="array" ref="K32">IF(操作台!$B$4="议程模板",_xlfn.LET(_xlpm.v,IFERROR(INDEX(_xlfn._xlws.FILTER(模板库!$L$2:$L$1000,(模板库!$B$2:$B$1000=操作台!$F$4)*(模板库!$E$2:$E$1000="item")),29),""),IF(OR(_xlpm.v="",_xlpm.v=0),"",_xlpm.v)),IF(操作台!$B$4="接龙导入",IFERROR(INDEX(计算区!$M$5:$M$25,29),""),""))</f>
        <v/>
      </c>
      <c r="L32" s="23"/>
      <c r="M32" s="24"/>
      <c r="N32" s="24"/>
      <c r="O32" s="24"/>
      <c r="P32" s="25"/>
      <c r="Q32" s="26" t="str">
        <f>IF($B32="","",_xlfn.LET(_xlpm.m,IF($O32&lt;&gt;"",$O32,$J32),_xlpm.p,IF($P32&lt;&gt;"",$P32,IF($K32="","待定",$K32)),_xlpm.title,IF($L32&lt;&gt;"",$L32,$G32),_xlfn.TEXTJOIN("；",TRUE,IF(_xlpm.title="","缺少标题",""),IF(_xlpm.m="","缺少排程分钟",IF(NOT(ISNUMBER(_xlpm.m)),"排程分钟无效","")),IF(_xlpm.p="待定","负责人待定",""),IF(AND($A32&gt;1,$F32=""),"前序排程中断",""))))</f>
        <v/>
      </c>
      <c r="R32" s="28" t="str">
        <f t="shared" si="0"/>
        <v/>
      </c>
      <c r="S32">
        <f t="shared" si="1"/>
        <v>0</v>
      </c>
    </row>
    <row r="33" spans="1:19" ht="27" customHeight="1">
      <c r="A33" s="5">
        <v>30</v>
      </c>
      <c r="B33" s="5" t="str" cm="1">
        <f t="array" ref="B33">IF(操作台!$B$4="议程模板",_xlfn.LET(_xlpm.v,IFERROR(INDEX(_xlfn._xlws.FILTER(模板库!$D$2:$D$1000,(模板库!$B$2:$B$1000=操作台!$F$4)*(模板库!$E$2:$E$1000="item")),30),""),IF(OR(_xlpm.v="",_xlpm.v=0),"",_xlpm.v)),IF(操作台!$B$4="接龙导入",IFERROR(INDEX(计算区!$F$5:$F$25,30),""),IF(COUNTA($L33:$P33)&gt;0,"manual-"&amp;TEXT($A33,"00"),"")))</f>
        <v/>
      </c>
      <c r="C33" s="5" t="str" cm="1">
        <f t="array" ref="C33">IF(操作台!$B$4="议程模板",_xlfn.LET(_xlpm.v,IFERROR(INDEX(_xlfn._xlws.FILTER(模板库!$F$2:$F$1000,(模板库!$B$2:$B$1000=操作台!$F$4)*(模板库!$E$2:$E$1000="item")),30),""),IF(OR(_xlpm.v="",_xlpm.v=0),"",_xlpm.v)),IF(操作台!$B$4="接龙导入",IFERROR(INDEX(计算区!$G$5:$G$25,30),""),IF(COUNTA($L33:$P33)&gt;0,1,"")))</f>
        <v/>
      </c>
      <c r="D33" s="5" t="str" cm="1">
        <f t="array" ref="D33">IF(操作台!$B$4="议程模板",_xlfn.LET(_xlpm.v,IFERROR(INDEX(_xlfn._xlws.FILTER(模板库!$G$2:$G$1000,(模板库!$B$2:$B$1000=操作台!$F$4)*(模板库!$E$2:$E$1000="item")),30),""),IF(OR(_xlpm.v="",_xlpm.v=0),"",_xlpm.v)),IF(操作台!$B$4="接龙导入",IFERROR(INDEX(计算区!$H$5:$H$25,30),""),IF(COUNTA($L33:$P33)&gt;0,"手工议程","")))</f>
        <v/>
      </c>
      <c r="E33" s="5" t="str" cm="1">
        <f t="array" ref="E33">IF(操作台!$B$4="议程模板",_xlfn.LET(_xlpm.v,IFERROR(INDEX(_xlfn._xlws.FILTER(模板库!$M$2:$M$1000,(模板库!$B$2:$B$1000=操作台!$F$4)*(模板库!$E$2:$E$1000="item")),30),""),IF(OR(_xlpm.v="",_xlpm.v=0),"",_xlpm.v)),IF(操作台!$B$4="接龙导入",IFERROR(INDEX(计算区!$N$5:$N$25,30),""),IF(COUNTA($L33:$P33)&gt;0,"plain","")))</f>
        <v/>
      </c>
      <c r="F33" s="27" t="str">
        <f>IF($B33="","",IF(COUNTIF($Q$4:$Q32,"*排程*")&gt;0,"",IF(COUNTIF($B$4:$B32,"&lt;&gt;")=0,IF(操作台!$B$4="接龙导入",IF(计算区!$E$7&lt;&gt;"",计算区!$E$7,操作台!$F$10),操作台!$F$10),MAX($R$4:$R32))))</f>
        <v/>
      </c>
      <c r="G33" s="5" t="str" cm="1">
        <f t="array" ref="G33">IF(操作台!$B$4="议程模板",_xlfn.LET(_xlpm.v,IFERROR(INDEX(_xlfn._xlws.FILTER(模板库!$H$2:$H$1000,(模板库!$B$2:$B$1000=操作台!$F$4)*(模板库!$E$2:$E$1000="item")),30),""),IF(OR(_xlpm.v="",_xlpm.v=0),"",_xlpm.v)),IF(操作台!$B$4="接龙导入",IFERROR(INDEX(计算区!$I$5:$I$25,30),""),""))</f>
        <v/>
      </c>
      <c r="H33" s="5" t="str" cm="1">
        <f t="array" ref="H33">IF(操作台!$B$4="议程模板",_xlfn.LET(_xlpm.v,IFERROR(INDEX(_xlfn._xlws.FILTER(模板库!$I$2:$I$1000,(模板库!$B$2:$B$1000=操作台!$F$4)*(模板库!$E$2:$E$1000="item")),30),""),IF(OR(_xlpm.v="",_xlpm.v=0),"",_xlpm.v)),IF(操作台!$B$4="接龙导入","",""))</f>
        <v/>
      </c>
      <c r="I33" s="5" t="str" cm="1">
        <f t="array" ref="I33">IF(操作台!$B$4="议程模板",_xlfn.LET(_xlpm.v,IFERROR(INDEX(_xlfn._xlws.FILTER(模板库!$J$2:$J$1000,(模板库!$B$2:$B$1000=操作台!$F$4)*(模板库!$E$2:$E$1000="item")),30),""),IF(OR(_xlpm.v="",_xlpm.v=0),"",_xlpm.v)),IF(操作台!$B$4="接龙导入",IFERROR(INDEX(计算区!$J$5:$J$25,30),""),""))</f>
        <v/>
      </c>
      <c r="J33" s="5" t="str" cm="1">
        <f t="array" ref="J33">IF(操作台!$B$4="议程模板",_xlfn.LET(_xlpm.v,IFERROR(INDEX(_xlfn._xlws.FILTER(模板库!$K$2:$K$1000,(模板库!$B$2:$B$1000=操作台!$F$4)*(模板库!$E$2:$E$1000="item")),30),""),IF(OR(_xlpm.v="",_xlpm.v=0),"",_xlpm.v)),IF(操作台!$B$4="接龙导入",IFERROR(INDEX(计算区!$K$5:$K$25,30),""),""))</f>
        <v/>
      </c>
      <c r="K33" s="5" t="str" cm="1">
        <f t="array" ref="K33">IF(操作台!$B$4="议程模板",_xlfn.LET(_xlpm.v,IFERROR(INDEX(_xlfn._xlws.FILTER(模板库!$L$2:$L$1000,(模板库!$B$2:$B$1000=操作台!$F$4)*(模板库!$E$2:$E$1000="item")),30),""),IF(OR(_xlpm.v="",_xlpm.v=0),"",_xlpm.v)),IF(操作台!$B$4="接龙导入",IFERROR(INDEX(计算区!$M$5:$M$25,30),""),""))</f>
        <v/>
      </c>
      <c r="L33" s="23"/>
      <c r="M33" s="24"/>
      <c r="N33" s="24"/>
      <c r="O33" s="24"/>
      <c r="P33" s="25"/>
      <c r="Q33" s="26" t="str">
        <f>IF($B33="","",_xlfn.LET(_xlpm.m,IF($O33&lt;&gt;"",$O33,$J33),_xlpm.p,IF($P33&lt;&gt;"",$P33,IF($K33="","待定",$K33)),_xlpm.title,IF($L33&lt;&gt;"",$L33,$G33),_xlfn.TEXTJOIN("；",TRUE,IF(_xlpm.title="","缺少标题",""),IF(_xlpm.m="","缺少排程分钟",IF(NOT(ISNUMBER(_xlpm.m)),"排程分钟无效","")),IF(_xlpm.p="待定","负责人待定",""),IF(AND($A33&gt;1,$F33=""),"前序排程中断",""))))</f>
        <v/>
      </c>
      <c r="R33" s="28" t="str">
        <f t="shared" si="0"/>
        <v/>
      </c>
      <c r="S33">
        <f t="shared" si="1"/>
        <v>0</v>
      </c>
    </row>
    <row r="34" spans="1:19" ht="27" customHeight="1">
      <c r="A34" s="5">
        <v>31</v>
      </c>
      <c r="B34" s="5" t="str" cm="1">
        <f t="array" ref="B34">IF(操作台!$B$4="议程模板",_xlfn.LET(_xlpm.v,IFERROR(INDEX(_xlfn._xlws.FILTER(模板库!$D$2:$D$1000,(模板库!$B$2:$B$1000=操作台!$F$4)*(模板库!$E$2:$E$1000="item")),31),""),IF(OR(_xlpm.v="",_xlpm.v=0),"",_xlpm.v)),IF(操作台!$B$4="接龙导入",IFERROR(INDEX(计算区!$F$5:$F$25,31),""),IF(COUNTA($L34:$P34)&gt;0,"manual-"&amp;TEXT($A34,"00"),"")))</f>
        <v/>
      </c>
      <c r="C34" s="5" t="str" cm="1">
        <f t="array" ref="C34">IF(操作台!$B$4="议程模板",_xlfn.LET(_xlpm.v,IFERROR(INDEX(_xlfn._xlws.FILTER(模板库!$F$2:$F$1000,(模板库!$B$2:$B$1000=操作台!$F$4)*(模板库!$E$2:$E$1000="item")),31),""),IF(OR(_xlpm.v="",_xlpm.v=0),"",_xlpm.v)),IF(操作台!$B$4="接龙导入",IFERROR(INDEX(计算区!$G$5:$G$25,31),""),IF(COUNTA($L34:$P34)&gt;0,1,"")))</f>
        <v/>
      </c>
      <c r="D34" s="5" t="str" cm="1">
        <f t="array" ref="D34">IF(操作台!$B$4="议程模板",_xlfn.LET(_xlpm.v,IFERROR(INDEX(_xlfn._xlws.FILTER(模板库!$G$2:$G$1000,(模板库!$B$2:$B$1000=操作台!$F$4)*(模板库!$E$2:$E$1000="item")),31),""),IF(OR(_xlpm.v="",_xlpm.v=0),"",_xlpm.v)),IF(操作台!$B$4="接龙导入",IFERROR(INDEX(计算区!$H$5:$H$25,31),""),IF(COUNTA($L34:$P34)&gt;0,"手工议程","")))</f>
        <v/>
      </c>
      <c r="E34" s="5" t="str" cm="1">
        <f t="array" ref="E34">IF(操作台!$B$4="议程模板",_xlfn.LET(_xlpm.v,IFERROR(INDEX(_xlfn._xlws.FILTER(模板库!$M$2:$M$1000,(模板库!$B$2:$B$1000=操作台!$F$4)*(模板库!$E$2:$E$1000="item")),31),""),IF(OR(_xlpm.v="",_xlpm.v=0),"",_xlpm.v)),IF(操作台!$B$4="接龙导入",IFERROR(INDEX(计算区!$N$5:$N$25,31),""),IF(COUNTA($L34:$P34)&gt;0,"plain","")))</f>
        <v/>
      </c>
      <c r="F34" s="27" t="str">
        <f>IF($B34="","",IF(COUNTIF($Q$4:$Q33,"*排程*")&gt;0,"",IF(COUNTIF($B$4:$B33,"&lt;&gt;")=0,IF(操作台!$B$4="接龙导入",IF(计算区!$E$7&lt;&gt;"",计算区!$E$7,操作台!$F$10),操作台!$F$10),MAX($R$4:$R33))))</f>
        <v/>
      </c>
      <c r="G34" s="5" t="str" cm="1">
        <f t="array" ref="G34">IF(操作台!$B$4="议程模板",_xlfn.LET(_xlpm.v,IFERROR(INDEX(_xlfn._xlws.FILTER(模板库!$H$2:$H$1000,(模板库!$B$2:$B$1000=操作台!$F$4)*(模板库!$E$2:$E$1000="item")),31),""),IF(OR(_xlpm.v="",_xlpm.v=0),"",_xlpm.v)),IF(操作台!$B$4="接龙导入",IFERROR(INDEX(计算区!$I$5:$I$25,31),""),""))</f>
        <v/>
      </c>
      <c r="H34" s="5" t="str" cm="1">
        <f t="array" ref="H34">IF(操作台!$B$4="议程模板",_xlfn.LET(_xlpm.v,IFERROR(INDEX(_xlfn._xlws.FILTER(模板库!$I$2:$I$1000,(模板库!$B$2:$B$1000=操作台!$F$4)*(模板库!$E$2:$E$1000="item")),31),""),IF(OR(_xlpm.v="",_xlpm.v=0),"",_xlpm.v)),IF(操作台!$B$4="接龙导入","",""))</f>
        <v/>
      </c>
      <c r="I34" s="5" t="str" cm="1">
        <f t="array" ref="I34">IF(操作台!$B$4="议程模板",_xlfn.LET(_xlpm.v,IFERROR(INDEX(_xlfn._xlws.FILTER(模板库!$J$2:$J$1000,(模板库!$B$2:$B$1000=操作台!$F$4)*(模板库!$E$2:$E$1000="item")),31),""),IF(OR(_xlpm.v="",_xlpm.v=0),"",_xlpm.v)),IF(操作台!$B$4="接龙导入",IFERROR(INDEX(计算区!$J$5:$J$25,31),""),""))</f>
        <v/>
      </c>
      <c r="J34" s="5" t="str" cm="1">
        <f t="array" ref="J34">IF(操作台!$B$4="议程模板",_xlfn.LET(_xlpm.v,IFERROR(INDEX(_xlfn._xlws.FILTER(模板库!$K$2:$K$1000,(模板库!$B$2:$B$1000=操作台!$F$4)*(模板库!$E$2:$E$1000="item")),31),""),IF(OR(_xlpm.v="",_xlpm.v=0),"",_xlpm.v)),IF(操作台!$B$4="接龙导入",IFERROR(INDEX(计算区!$K$5:$K$25,31),""),""))</f>
        <v/>
      </c>
      <c r="K34" s="5" t="str" cm="1">
        <f t="array" ref="K34">IF(操作台!$B$4="议程模板",_xlfn.LET(_xlpm.v,IFERROR(INDEX(_xlfn._xlws.FILTER(模板库!$L$2:$L$1000,(模板库!$B$2:$B$1000=操作台!$F$4)*(模板库!$E$2:$E$1000="item")),31),""),IF(OR(_xlpm.v="",_xlpm.v=0),"",_xlpm.v)),IF(操作台!$B$4="接龙导入",IFERROR(INDEX(计算区!$M$5:$M$25,31),""),""))</f>
        <v/>
      </c>
      <c r="L34" s="23"/>
      <c r="M34" s="24"/>
      <c r="N34" s="24"/>
      <c r="O34" s="24"/>
      <c r="P34" s="25"/>
      <c r="Q34" s="26" t="str">
        <f>IF($B34="","",_xlfn.LET(_xlpm.m,IF($O34&lt;&gt;"",$O34,$J34),_xlpm.p,IF($P34&lt;&gt;"",$P34,IF($K34="","待定",$K34)),_xlpm.title,IF($L34&lt;&gt;"",$L34,$G34),_xlfn.TEXTJOIN("；",TRUE,IF(_xlpm.title="","缺少标题",""),IF(_xlpm.m="","缺少排程分钟",IF(NOT(ISNUMBER(_xlpm.m)),"排程分钟无效","")),IF(_xlpm.p="待定","负责人待定",""),IF(AND($A34&gt;1,$F34=""),"前序排程中断",""))))</f>
        <v/>
      </c>
      <c r="R34" s="28" t="str">
        <f t="shared" si="0"/>
        <v/>
      </c>
      <c r="S34">
        <f t="shared" si="1"/>
        <v>0</v>
      </c>
    </row>
    <row r="35" spans="1:19" ht="27" customHeight="1">
      <c r="A35" s="5">
        <v>32</v>
      </c>
      <c r="B35" s="5" t="str" cm="1">
        <f t="array" ref="B35">IF(操作台!$B$4="议程模板",_xlfn.LET(_xlpm.v,IFERROR(INDEX(_xlfn._xlws.FILTER(模板库!$D$2:$D$1000,(模板库!$B$2:$B$1000=操作台!$F$4)*(模板库!$E$2:$E$1000="item")),32),""),IF(OR(_xlpm.v="",_xlpm.v=0),"",_xlpm.v)),IF(操作台!$B$4="接龙导入",IFERROR(INDEX(计算区!$F$5:$F$25,32),""),IF(COUNTA($L35:$P35)&gt;0,"manual-"&amp;TEXT($A35,"00"),"")))</f>
        <v/>
      </c>
      <c r="C35" s="5" t="str" cm="1">
        <f t="array" ref="C35">IF(操作台!$B$4="议程模板",_xlfn.LET(_xlpm.v,IFERROR(INDEX(_xlfn._xlws.FILTER(模板库!$F$2:$F$1000,(模板库!$B$2:$B$1000=操作台!$F$4)*(模板库!$E$2:$E$1000="item")),32),""),IF(OR(_xlpm.v="",_xlpm.v=0),"",_xlpm.v)),IF(操作台!$B$4="接龙导入",IFERROR(INDEX(计算区!$G$5:$G$25,32),""),IF(COUNTA($L35:$P35)&gt;0,1,"")))</f>
        <v/>
      </c>
      <c r="D35" s="5" t="str" cm="1">
        <f t="array" ref="D35">IF(操作台!$B$4="议程模板",_xlfn.LET(_xlpm.v,IFERROR(INDEX(_xlfn._xlws.FILTER(模板库!$G$2:$G$1000,(模板库!$B$2:$B$1000=操作台!$F$4)*(模板库!$E$2:$E$1000="item")),32),""),IF(OR(_xlpm.v="",_xlpm.v=0),"",_xlpm.v)),IF(操作台!$B$4="接龙导入",IFERROR(INDEX(计算区!$H$5:$H$25,32),""),IF(COUNTA($L35:$P35)&gt;0,"手工议程","")))</f>
        <v/>
      </c>
      <c r="E35" s="5" t="str" cm="1">
        <f t="array" ref="E35">IF(操作台!$B$4="议程模板",_xlfn.LET(_xlpm.v,IFERROR(INDEX(_xlfn._xlws.FILTER(模板库!$M$2:$M$1000,(模板库!$B$2:$B$1000=操作台!$F$4)*(模板库!$E$2:$E$1000="item")),32),""),IF(OR(_xlpm.v="",_xlpm.v=0),"",_xlpm.v)),IF(操作台!$B$4="接龙导入",IFERROR(INDEX(计算区!$N$5:$N$25,32),""),IF(COUNTA($L35:$P35)&gt;0,"plain","")))</f>
        <v/>
      </c>
      <c r="F35" s="27" t="str">
        <f>IF($B35="","",IF(COUNTIF($Q$4:$Q34,"*排程*")&gt;0,"",IF(COUNTIF($B$4:$B34,"&lt;&gt;")=0,IF(操作台!$B$4="接龙导入",IF(计算区!$E$7&lt;&gt;"",计算区!$E$7,操作台!$F$10),操作台!$F$10),MAX($R$4:$R34))))</f>
        <v/>
      </c>
      <c r="G35" s="5" t="str" cm="1">
        <f t="array" ref="G35">IF(操作台!$B$4="议程模板",_xlfn.LET(_xlpm.v,IFERROR(INDEX(_xlfn._xlws.FILTER(模板库!$H$2:$H$1000,(模板库!$B$2:$B$1000=操作台!$F$4)*(模板库!$E$2:$E$1000="item")),32),""),IF(OR(_xlpm.v="",_xlpm.v=0),"",_xlpm.v)),IF(操作台!$B$4="接龙导入",IFERROR(INDEX(计算区!$I$5:$I$25,32),""),""))</f>
        <v/>
      </c>
      <c r="H35" s="5" t="str" cm="1">
        <f t="array" ref="H35">IF(操作台!$B$4="议程模板",_xlfn.LET(_xlpm.v,IFERROR(INDEX(_xlfn._xlws.FILTER(模板库!$I$2:$I$1000,(模板库!$B$2:$B$1000=操作台!$F$4)*(模板库!$E$2:$E$1000="item")),32),""),IF(OR(_xlpm.v="",_xlpm.v=0),"",_xlpm.v)),IF(操作台!$B$4="接龙导入","",""))</f>
        <v/>
      </c>
      <c r="I35" s="5" t="str" cm="1">
        <f t="array" ref="I35">IF(操作台!$B$4="议程模板",_xlfn.LET(_xlpm.v,IFERROR(INDEX(_xlfn._xlws.FILTER(模板库!$J$2:$J$1000,(模板库!$B$2:$B$1000=操作台!$F$4)*(模板库!$E$2:$E$1000="item")),32),""),IF(OR(_xlpm.v="",_xlpm.v=0),"",_xlpm.v)),IF(操作台!$B$4="接龙导入",IFERROR(INDEX(计算区!$J$5:$J$25,32),""),""))</f>
        <v/>
      </c>
      <c r="J35" s="5" t="str" cm="1">
        <f t="array" ref="J35">IF(操作台!$B$4="议程模板",_xlfn.LET(_xlpm.v,IFERROR(INDEX(_xlfn._xlws.FILTER(模板库!$K$2:$K$1000,(模板库!$B$2:$B$1000=操作台!$F$4)*(模板库!$E$2:$E$1000="item")),32),""),IF(OR(_xlpm.v="",_xlpm.v=0),"",_xlpm.v)),IF(操作台!$B$4="接龙导入",IFERROR(INDEX(计算区!$K$5:$K$25,32),""),""))</f>
        <v/>
      </c>
      <c r="K35" s="5" t="str" cm="1">
        <f t="array" ref="K35">IF(操作台!$B$4="议程模板",_xlfn.LET(_xlpm.v,IFERROR(INDEX(_xlfn._xlws.FILTER(模板库!$L$2:$L$1000,(模板库!$B$2:$B$1000=操作台!$F$4)*(模板库!$E$2:$E$1000="item")),32),""),IF(OR(_xlpm.v="",_xlpm.v=0),"",_xlpm.v)),IF(操作台!$B$4="接龙导入",IFERROR(INDEX(计算区!$M$5:$M$25,32),""),""))</f>
        <v/>
      </c>
      <c r="L35" s="23"/>
      <c r="M35" s="24"/>
      <c r="N35" s="24"/>
      <c r="O35" s="24"/>
      <c r="P35" s="25"/>
      <c r="Q35" s="26" t="str">
        <f>IF($B35="","",_xlfn.LET(_xlpm.m,IF($O35&lt;&gt;"",$O35,$J35),_xlpm.p,IF($P35&lt;&gt;"",$P35,IF($K35="","待定",$K35)),_xlpm.title,IF($L35&lt;&gt;"",$L35,$G35),_xlfn.TEXTJOIN("；",TRUE,IF(_xlpm.title="","缺少标题",""),IF(_xlpm.m="","缺少排程分钟",IF(NOT(ISNUMBER(_xlpm.m)),"排程分钟无效","")),IF(_xlpm.p="待定","负责人待定",""),IF(AND($A35&gt;1,$F35=""),"前序排程中断",""))))</f>
        <v/>
      </c>
      <c r="R35" s="28" t="str">
        <f t="shared" si="0"/>
        <v/>
      </c>
      <c r="S35">
        <f t="shared" si="1"/>
        <v>0</v>
      </c>
    </row>
    <row r="36" spans="1:19" ht="27" customHeight="1">
      <c r="A36" s="5">
        <v>33</v>
      </c>
      <c r="B36" s="5" t="str" cm="1">
        <f t="array" ref="B36">IF(操作台!$B$4="议程模板",_xlfn.LET(_xlpm.v,IFERROR(INDEX(_xlfn._xlws.FILTER(模板库!$D$2:$D$1000,(模板库!$B$2:$B$1000=操作台!$F$4)*(模板库!$E$2:$E$1000="item")),33),""),IF(OR(_xlpm.v="",_xlpm.v=0),"",_xlpm.v)),IF(操作台!$B$4="接龙导入",IFERROR(INDEX(计算区!$F$5:$F$25,33),""),IF(COUNTA($L36:$P36)&gt;0,"manual-"&amp;TEXT($A36,"00"),"")))</f>
        <v/>
      </c>
      <c r="C36" s="5" t="str" cm="1">
        <f t="array" ref="C36">IF(操作台!$B$4="议程模板",_xlfn.LET(_xlpm.v,IFERROR(INDEX(_xlfn._xlws.FILTER(模板库!$F$2:$F$1000,(模板库!$B$2:$B$1000=操作台!$F$4)*(模板库!$E$2:$E$1000="item")),33),""),IF(OR(_xlpm.v="",_xlpm.v=0),"",_xlpm.v)),IF(操作台!$B$4="接龙导入",IFERROR(INDEX(计算区!$G$5:$G$25,33),""),IF(COUNTA($L36:$P36)&gt;0,1,"")))</f>
        <v/>
      </c>
      <c r="D36" s="5" t="str" cm="1">
        <f t="array" ref="D36">IF(操作台!$B$4="议程模板",_xlfn.LET(_xlpm.v,IFERROR(INDEX(_xlfn._xlws.FILTER(模板库!$G$2:$G$1000,(模板库!$B$2:$B$1000=操作台!$F$4)*(模板库!$E$2:$E$1000="item")),33),""),IF(OR(_xlpm.v="",_xlpm.v=0),"",_xlpm.v)),IF(操作台!$B$4="接龙导入",IFERROR(INDEX(计算区!$H$5:$H$25,33),""),IF(COUNTA($L36:$P36)&gt;0,"手工议程","")))</f>
        <v/>
      </c>
      <c r="E36" s="5" t="str" cm="1">
        <f t="array" ref="E36">IF(操作台!$B$4="议程模板",_xlfn.LET(_xlpm.v,IFERROR(INDEX(_xlfn._xlws.FILTER(模板库!$M$2:$M$1000,(模板库!$B$2:$B$1000=操作台!$F$4)*(模板库!$E$2:$E$1000="item")),33),""),IF(OR(_xlpm.v="",_xlpm.v=0),"",_xlpm.v)),IF(操作台!$B$4="接龙导入",IFERROR(INDEX(计算区!$N$5:$N$25,33),""),IF(COUNTA($L36:$P36)&gt;0,"plain","")))</f>
        <v/>
      </c>
      <c r="F36" s="27" t="str">
        <f>IF($B36="","",IF(COUNTIF($Q$4:$Q35,"*排程*")&gt;0,"",IF(COUNTIF($B$4:$B35,"&lt;&gt;")=0,IF(操作台!$B$4="接龙导入",IF(计算区!$E$7&lt;&gt;"",计算区!$E$7,操作台!$F$10),操作台!$F$10),MAX($R$4:$R35))))</f>
        <v/>
      </c>
      <c r="G36" s="5" t="str" cm="1">
        <f t="array" ref="G36">IF(操作台!$B$4="议程模板",_xlfn.LET(_xlpm.v,IFERROR(INDEX(_xlfn._xlws.FILTER(模板库!$H$2:$H$1000,(模板库!$B$2:$B$1000=操作台!$F$4)*(模板库!$E$2:$E$1000="item")),33),""),IF(OR(_xlpm.v="",_xlpm.v=0),"",_xlpm.v)),IF(操作台!$B$4="接龙导入",IFERROR(INDEX(计算区!$I$5:$I$25,33),""),""))</f>
        <v/>
      </c>
      <c r="H36" s="5" t="str" cm="1">
        <f t="array" ref="H36">IF(操作台!$B$4="议程模板",_xlfn.LET(_xlpm.v,IFERROR(INDEX(_xlfn._xlws.FILTER(模板库!$I$2:$I$1000,(模板库!$B$2:$B$1000=操作台!$F$4)*(模板库!$E$2:$E$1000="item")),33),""),IF(OR(_xlpm.v="",_xlpm.v=0),"",_xlpm.v)),IF(操作台!$B$4="接龙导入","",""))</f>
        <v/>
      </c>
      <c r="I36" s="5" t="str" cm="1">
        <f t="array" ref="I36">IF(操作台!$B$4="议程模板",_xlfn.LET(_xlpm.v,IFERROR(INDEX(_xlfn._xlws.FILTER(模板库!$J$2:$J$1000,(模板库!$B$2:$B$1000=操作台!$F$4)*(模板库!$E$2:$E$1000="item")),33),""),IF(OR(_xlpm.v="",_xlpm.v=0),"",_xlpm.v)),IF(操作台!$B$4="接龙导入",IFERROR(INDEX(计算区!$J$5:$J$25,33),""),""))</f>
        <v/>
      </c>
      <c r="J36" s="5" t="str" cm="1">
        <f t="array" ref="J36">IF(操作台!$B$4="议程模板",_xlfn.LET(_xlpm.v,IFERROR(INDEX(_xlfn._xlws.FILTER(模板库!$K$2:$K$1000,(模板库!$B$2:$B$1000=操作台!$F$4)*(模板库!$E$2:$E$1000="item")),33),""),IF(OR(_xlpm.v="",_xlpm.v=0),"",_xlpm.v)),IF(操作台!$B$4="接龙导入",IFERROR(INDEX(计算区!$K$5:$K$25,33),""),""))</f>
        <v/>
      </c>
      <c r="K36" s="5" t="str" cm="1">
        <f t="array" ref="K36">IF(操作台!$B$4="议程模板",_xlfn.LET(_xlpm.v,IFERROR(INDEX(_xlfn._xlws.FILTER(模板库!$L$2:$L$1000,(模板库!$B$2:$B$1000=操作台!$F$4)*(模板库!$E$2:$E$1000="item")),33),""),IF(OR(_xlpm.v="",_xlpm.v=0),"",_xlpm.v)),IF(操作台!$B$4="接龙导入",IFERROR(INDEX(计算区!$M$5:$M$25,33),""),""))</f>
        <v/>
      </c>
      <c r="L36" s="23"/>
      <c r="M36" s="24"/>
      <c r="N36" s="24"/>
      <c r="O36" s="24"/>
      <c r="P36" s="25"/>
      <c r="Q36" s="26" t="str">
        <f>IF($B36="","",_xlfn.LET(_xlpm.m,IF($O36&lt;&gt;"",$O36,$J36),_xlpm.p,IF($P36&lt;&gt;"",$P36,IF($K36="","待定",$K36)),_xlpm.title,IF($L36&lt;&gt;"",$L36,$G36),_xlfn.TEXTJOIN("；",TRUE,IF(_xlpm.title="","缺少标题",""),IF(_xlpm.m="","缺少排程分钟",IF(NOT(ISNUMBER(_xlpm.m)),"排程分钟无效","")),IF(_xlpm.p="待定","负责人待定",""),IF(AND($A36&gt;1,$F36=""),"前序排程中断",""))))</f>
        <v/>
      </c>
      <c r="R36" s="28" t="str">
        <f t="shared" ref="R36:R63" si="2">IF($B36="","",IF(OR($F36="",IF($O36&lt;&gt;"",NOT(ISNUMBER($O36)),NOT(ISNUMBER($J36)))),"",$F36+IF($O36&lt;&gt;"",$O36,$J36)/1440))</f>
        <v/>
      </c>
      <c r="S36">
        <f t="shared" ref="S36:S63" si="3">IF($B36="",0,1)</f>
        <v>0</v>
      </c>
    </row>
    <row r="37" spans="1:19" ht="27" customHeight="1">
      <c r="A37" s="5">
        <v>34</v>
      </c>
      <c r="B37" s="5" t="str" cm="1">
        <f t="array" ref="B37">IF(操作台!$B$4="议程模板",_xlfn.LET(_xlpm.v,IFERROR(INDEX(_xlfn._xlws.FILTER(模板库!$D$2:$D$1000,(模板库!$B$2:$B$1000=操作台!$F$4)*(模板库!$E$2:$E$1000="item")),34),""),IF(OR(_xlpm.v="",_xlpm.v=0),"",_xlpm.v)),IF(操作台!$B$4="接龙导入",IFERROR(INDEX(计算区!$F$5:$F$25,34),""),IF(COUNTA($L37:$P37)&gt;0,"manual-"&amp;TEXT($A37,"00"),"")))</f>
        <v/>
      </c>
      <c r="C37" s="5" t="str" cm="1">
        <f t="array" ref="C37">IF(操作台!$B$4="议程模板",_xlfn.LET(_xlpm.v,IFERROR(INDEX(_xlfn._xlws.FILTER(模板库!$F$2:$F$1000,(模板库!$B$2:$B$1000=操作台!$F$4)*(模板库!$E$2:$E$1000="item")),34),""),IF(OR(_xlpm.v="",_xlpm.v=0),"",_xlpm.v)),IF(操作台!$B$4="接龙导入",IFERROR(INDEX(计算区!$G$5:$G$25,34),""),IF(COUNTA($L37:$P37)&gt;0,1,"")))</f>
        <v/>
      </c>
      <c r="D37" s="5" t="str" cm="1">
        <f t="array" ref="D37">IF(操作台!$B$4="议程模板",_xlfn.LET(_xlpm.v,IFERROR(INDEX(_xlfn._xlws.FILTER(模板库!$G$2:$G$1000,(模板库!$B$2:$B$1000=操作台!$F$4)*(模板库!$E$2:$E$1000="item")),34),""),IF(OR(_xlpm.v="",_xlpm.v=0),"",_xlpm.v)),IF(操作台!$B$4="接龙导入",IFERROR(INDEX(计算区!$H$5:$H$25,34),""),IF(COUNTA($L37:$P37)&gt;0,"手工议程","")))</f>
        <v/>
      </c>
      <c r="E37" s="5" t="str" cm="1">
        <f t="array" ref="E37">IF(操作台!$B$4="议程模板",_xlfn.LET(_xlpm.v,IFERROR(INDEX(_xlfn._xlws.FILTER(模板库!$M$2:$M$1000,(模板库!$B$2:$B$1000=操作台!$F$4)*(模板库!$E$2:$E$1000="item")),34),""),IF(OR(_xlpm.v="",_xlpm.v=0),"",_xlpm.v)),IF(操作台!$B$4="接龙导入",IFERROR(INDEX(计算区!$N$5:$N$25,34),""),IF(COUNTA($L37:$P37)&gt;0,"plain","")))</f>
        <v/>
      </c>
      <c r="F37" s="27" t="str">
        <f>IF($B37="","",IF(COUNTIF($Q$4:$Q36,"*排程*")&gt;0,"",IF(COUNTIF($B$4:$B36,"&lt;&gt;")=0,IF(操作台!$B$4="接龙导入",IF(计算区!$E$7&lt;&gt;"",计算区!$E$7,操作台!$F$10),操作台!$F$10),MAX($R$4:$R36))))</f>
        <v/>
      </c>
      <c r="G37" s="5" t="str" cm="1">
        <f t="array" ref="G37">IF(操作台!$B$4="议程模板",_xlfn.LET(_xlpm.v,IFERROR(INDEX(_xlfn._xlws.FILTER(模板库!$H$2:$H$1000,(模板库!$B$2:$B$1000=操作台!$F$4)*(模板库!$E$2:$E$1000="item")),34),""),IF(OR(_xlpm.v="",_xlpm.v=0),"",_xlpm.v)),IF(操作台!$B$4="接龙导入",IFERROR(INDEX(计算区!$I$5:$I$25,34),""),""))</f>
        <v/>
      </c>
      <c r="H37" s="5" t="str" cm="1">
        <f t="array" ref="H37">IF(操作台!$B$4="议程模板",_xlfn.LET(_xlpm.v,IFERROR(INDEX(_xlfn._xlws.FILTER(模板库!$I$2:$I$1000,(模板库!$B$2:$B$1000=操作台!$F$4)*(模板库!$E$2:$E$1000="item")),34),""),IF(OR(_xlpm.v="",_xlpm.v=0),"",_xlpm.v)),IF(操作台!$B$4="接龙导入","",""))</f>
        <v/>
      </c>
      <c r="I37" s="5" t="str" cm="1">
        <f t="array" ref="I37">IF(操作台!$B$4="议程模板",_xlfn.LET(_xlpm.v,IFERROR(INDEX(_xlfn._xlws.FILTER(模板库!$J$2:$J$1000,(模板库!$B$2:$B$1000=操作台!$F$4)*(模板库!$E$2:$E$1000="item")),34),""),IF(OR(_xlpm.v="",_xlpm.v=0),"",_xlpm.v)),IF(操作台!$B$4="接龙导入",IFERROR(INDEX(计算区!$J$5:$J$25,34),""),""))</f>
        <v/>
      </c>
      <c r="J37" s="5" t="str" cm="1">
        <f t="array" ref="J37">IF(操作台!$B$4="议程模板",_xlfn.LET(_xlpm.v,IFERROR(INDEX(_xlfn._xlws.FILTER(模板库!$K$2:$K$1000,(模板库!$B$2:$B$1000=操作台!$F$4)*(模板库!$E$2:$E$1000="item")),34),""),IF(OR(_xlpm.v="",_xlpm.v=0),"",_xlpm.v)),IF(操作台!$B$4="接龙导入",IFERROR(INDEX(计算区!$K$5:$K$25,34),""),""))</f>
        <v/>
      </c>
      <c r="K37" s="5" t="str" cm="1">
        <f t="array" ref="K37">IF(操作台!$B$4="议程模板",_xlfn.LET(_xlpm.v,IFERROR(INDEX(_xlfn._xlws.FILTER(模板库!$L$2:$L$1000,(模板库!$B$2:$B$1000=操作台!$F$4)*(模板库!$E$2:$E$1000="item")),34),""),IF(OR(_xlpm.v="",_xlpm.v=0),"",_xlpm.v)),IF(操作台!$B$4="接龙导入",IFERROR(INDEX(计算区!$M$5:$M$25,34),""),""))</f>
        <v/>
      </c>
      <c r="L37" s="23"/>
      <c r="M37" s="24"/>
      <c r="N37" s="24"/>
      <c r="O37" s="24"/>
      <c r="P37" s="25"/>
      <c r="Q37" s="26" t="str">
        <f>IF($B37="","",_xlfn.LET(_xlpm.m,IF($O37&lt;&gt;"",$O37,$J37),_xlpm.p,IF($P37&lt;&gt;"",$P37,IF($K37="","待定",$K37)),_xlpm.title,IF($L37&lt;&gt;"",$L37,$G37),_xlfn.TEXTJOIN("；",TRUE,IF(_xlpm.title="","缺少标题",""),IF(_xlpm.m="","缺少排程分钟",IF(NOT(ISNUMBER(_xlpm.m)),"排程分钟无效","")),IF(_xlpm.p="待定","负责人待定",""),IF(AND($A37&gt;1,$F37=""),"前序排程中断",""))))</f>
        <v/>
      </c>
      <c r="R37" s="28" t="str">
        <f t="shared" si="2"/>
        <v/>
      </c>
      <c r="S37">
        <f t="shared" si="3"/>
        <v>0</v>
      </c>
    </row>
    <row r="38" spans="1:19" ht="27" customHeight="1">
      <c r="A38" s="5">
        <v>35</v>
      </c>
      <c r="B38" s="5" t="str" cm="1">
        <f t="array" ref="B38">IF(操作台!$B$4="议程模板",_xlfn.LET(_xlpm.v,IFERROR(INDEX(_xlfn._xlws.FILTER(模板库!$D$2:$D$1000,(模板库!$B$2:$B$1000=操作台!$F$4)*(模板库!$E$2:$E$1000="item")),35),""),IF(OR(_xlpm.v="",_xlpm.v=0),"",_xlpm.v)),IF(操作台!$B$4="接龙导入",IFERROR(INDEX(计算区!$F$5:$F$25,35),""),IF(COUNTA($L38:$P38)&gt;0,"manual-"&amp;TEXT($A38,"00"),"")))</f>
        <v/>
      </c>
      <c r="C38" s="5" t="str" cm="1">
        <f t="array" ref="C38">IF(操作台!$B$4="议程模板",_xlfn.LET(_xlpm.v,IFERROR(INDEX(_xlfn._xlws.FILTER(模板库!$F$2:$F$1000,(模板库!$B$2:$B$1000=操作台!$F$4)*(模板库!$E$2:$E$1000="item")),35),""),IF(OR(_xlpm.v="",_xlpm.v=0),"",_xlpm.v)),IF(操作台!$B$4="接龙导入",IFERROR(INDEX(计算区!$G$5:$G$25,35),""),IF(COUNTA($L38:$P38)&gt;0,1,"")))</f>
        <v/>
      </c>
      <c r="D38" s="5" t="str" cm="1">
        <f t="array" ref="D38">IF(操作台!$B$4="议程模板",_xlfn.LET(_xlpm.v,IFERROR(INDEX(_xlfn._xlws.FILTER(模板库!$G$2:$G$1000,(模板库!$B$2:$B$1000=操作台!$F$4)*(模板库!$E$2:$E$1000="item")),35),""),IF(OR(_xlpm.v="",_xlpm.v=0),"",_xlpm.v)),IF(操作台!$B$4="接龙导入",IFERROR(INDEX(计算区!$H$5:$H$25,35),""),IF(COUNTA($L38:$P38)&gt;0,"手工议程","")))</f>
        <v/>
      </c>
      <c r="E38" s="5" t="str" cm="1">
        <f t="array" ref="E38">IF(操作台!$B$4="议程模板",_xlfn.LET(_xlpm.v,IFERROR(INDEX(_xlfn._xlws.FILTER(模板库!$M$2:$M$1000,(模板库!$B$2:$B$1000=操作台!$F$4)*(模板库!$E$2:$E$1000="item")),35),""),IF(OR(_xlpm.v="",_xlpm.v=0),"",_xlpm.v)),IF(操作台!$B$4="接龙导入",IFERROR(INDEX(计算区!$N$5:$N$25,35),""),IF(COUNTA($L38:$P38)&gt;0,"plain","")))</f>
        <v/>
      </c>
      <c r="F38" s="27" t="str">
        <f>IF($B38="","",IF(COUNTIF($Q$4:$Q37,"*排程*")&gt;0,"",IF(COUNTIF($B$4:$B37,"&lt;&gt;")=0,IF(操作台!$B$4="接龙导入",IF(计算区!$E$7&lt;&gt;"",计算区!$E$7,操作台!$F$10),操作台!$F$10),MAX($R$4:$R37))))</f>
        <v/>
      </c>
      <c r="G38" s="5" t="str" cm="1">
        <f t="array" ref="G38">IF(操作台!$B$4="议程模板",_xlfn.LET(_xlpm.v,IFERROR(INDEX(_xlfn._xlws.FILTER(模板库!$H$2:$H$1000,(模板库!$B$2:$B$1000=操作台!$F$4)*(模板库!$E$2:$E$1000="item")),35),""),IF(OR(_xlpm.v="",_xlpm.v=0),"",_xlpm.v)),IF(操作台!$B$4="接龙导入",IFERROR(INDEX(计算区!$I$5:$I$25,35),""),""))</f>
        <v/>
      </c>
      <c r="H38" s="5" t="str" cm="1">
        <f t="array" ref="H38">IF(操作台!$B$4="议程模板",_xlfn.LET(_xlpm.v,IFERROR(INDEX(_xlfn._xlws.FILTER(模板库!$I$2:$I$1000,(模板库!$B$2:$B$1000=操作台!$F$4)*(模板库!$E$2:$E$1000="item")),35),""),IF(OR(_xlpm.v="",_xlpm.v=0),"",_xlpm.v)),IF(操作台!$B$4="接龙导入","",""))</f>
        <v/>
      </c>
      <c r="I38" s="5" t="str" cm="1">
        <f t="array" ref="I38">IF(操作台!$B$4="议程模板",_xlfn.LET(_xlpm.v,IFERROR(INDEX(_xlfn._xlws.FILTER(模板库!$J$2:$J$1000,(模板库!$B$2:$B$1000=操作台!$F$4)*(模板库!$E$2:$E$1000="item")),35),""),IF(OR(_xlpm.v="",_xlpm.v=0),"",_xlpm.v)),IF(操作台!$B$4="接龙导入",IFERROR(INDEX(计算区!$J$5:$J$25,35),""),""))</f>
        <v/>
      </c>
      <c r="J38" s="5" t="str" cm="1">
        <f t="array" ref="J38">IF(操作台!$B$4="议程模板",_xlfn.LET(_xlpm.v,IFERROR(INDEX(_xlfn._xlws.FILTER(模板库!$K$2:$K$1000,(模板库!$B$2:$B$1000=操作台!$F$4)*(模板库!$E$2:$E$1000="item")),35),""),IF(OR(_xlpm.v="",_xlpm.v=0),"",_xlpm.v)),IF(操作台!$B$4="接龙导入",IFERROR(INDEX(计算区!$K$5:$K$25,35),""),""))</f>
        <v/>
      </c>
      <c r="K38" s="5" t="str" cm="1">
        <f t="array" ref="K38">IF(操作台!$B$4="议程模板",_xlfn.LET(_xlpm.v,IFERROR(INDEX(_xlfn._xlws.FILTER(模板库!$L$2:$L$1000,(模板库!$B$2:$B$1000=操作台!$F$4)*(模板库!$E$2:$E$1000="item")),35),""),IF(OR(_xlpm.v="",_xlpm.v=0),"",_xlpm.v)),IF(操作台!$B$4="接龙导入",IFERROR(INDEX(计算区!$M$5:$M$25,35),""),""))</f>
        <v/>
      </c>
      <c r="L38" s="23"/>
      <c r="M38" s="24"/>
      <c r="N38" s="24"/>
      <c r="O38" s="24"/>
      <c r="P38" s="25"/>
      <c r="Q38" s="26" t="str">
        <f>IF($B38="","",_xlfn.LET(_xlpm.m,IF($O38&lt;&gt;"",$O38,$J38),_xlpm.p,IF($P38&lt;&gt;"",$P38,IF($K38="","待定",$K38)),_xlpm.title,IF($L38&lt;&gt;"",$L38,$G38),_xlfn.TEXTJOIN("；",TRUE,IF(_xlpm.title="","缺少标题",""),IF(_xlpm.m="","缺少排程分钟",IF(NOT(ISNUMBER(_xlpm.m)),"排程分钟无效","")),IF(_xlpm.p="待定","负责人待定",""),IF(AND($A38&gt;1,$F38=""),"前序排程中断",""))))</f>
        <v/>
      </c>
      <c r="R38" s="28" t="str">
        <f t="shared" si="2"/>
        <v/>
      </c>
      <c r="S38">
        <f t="shared" si="3"/>
        <v>0</v>
      </c>
    </row>
    <row r="39" spans="1:19" ht="27" customHeight="1">
      <c r="A39" s="5">
        <v>36</v>
      </c>
      <c r="B39" s="5" t="str" cm="1">
        <f t="array" ref="B39">IF(操作台!$B$4="议程模板",_xlfn.LET(_xlpm.v,IFERROR(INDEX(_xlfn._xlws.FILTER(模板库!$D$2:$D$1000,(模板库!$B$2:$B$1000=操作台!$F$4)*(模板库!$E$2:$E$1000="item")),36),""),IF(OR(_xlpm.v="",_xlpm.v=0),"",_xlpm.v)),IF(操作台!$B$4="接龙导入",IFERROR(INDEX(计算区!$F$5:$F$25,36),""),IF(COUNTA($L39:$P39)&gt;0,"manual-"&amp;TEXT($A39,"00"),"")))</f>
        <v/>
      </c>
      <c r="C39" s="5" t="str" cm="1">
        <f t="array" ref="C39">IF(操作台!$B$4="议程模板",_xlfn.LET(_xlpm.v,IFERROR(INDEX(_xlfn._xlws.FILTER(模板库!$F$2:$F$1000,(模板库!$B$2:$B$1000=操作台!$F$4)*(模板库!$E$2:$E$1000="item")),36),""),IF(OR(_xlpm.v="",_xlpm.v=0),"",_xlpm.v)),IF(操作台!$B$4="接龙导入",IFERROR(INDEX(计算区!$G$5:$G$25,36),""),IF(COUNTA($L39:$P39)&gt;0,1,"")))</f>
        <v/>
      </c>
      <c r="D39" s="5" t="str" cm="1">
        <f t="array" ref="D39">IF(操作台!$B$4="议程模板",_xlfn.LET(_xlpm.v,IFERROR(INDEX(_xlfn._xlws.FILTER(模板库!$G$2:$G$1000,(模板库!$B$2:$B$1000=操作台!$F$4)*(模板库!$E$2:$E$1000="item")),36),""),IF(OR(_xlpm.v="",_xlpm.v=0),"",_xlpm.v)),IF(操作台!$B$4="接龙导入",IFERROR(INDEX(计算区!$H$5:$H$25,36),""),IF(COUNTA($L39:$P39)&gt;0,"手工议程","")))</f>
        <v/>
      </c>
      <c r="E39" s="5" t="str" cm="1">
        <f t="array" ref="E39">IF(操作台!$B$4="议程模板",_xlfn.LET(_xlpm.v,IFERROR(INDEX(_xlfn._xlws.FILTER(模板库!$M$2:$M$1000,(模板库!$B$2:$B$1000=操作台!$F$4)*(模板库!$E$2:$E$1000="item")),36),""),IF(OR(_xlpm.v="",_xlpm.v=0),"",_xlpm.v)),IF(操作台!$B$4="接龙导入",IFERROR(INDEX(计算区!$N$5:$N$25,36),""),IF(COUNTA($L39:$P39)&gt;0,"plain","")))</f>
        <v/>
      </c>
      <c r="F39" s="27" t="str">
        <f>IF($B39="","",IF(COUNTIF($Q$4:$Q38,"*排程*")&gt;0,"",IF(COUNTIF($B$4:$B38,"&lt;&gt;")=0,IF(操作台!$B$4="接龙导入",IF(计算区!$E$7&lt;&gt;"",计算区!$E$7,操作台!$F$10),操作台!$F$10),MAX($R$4:$R38))))</f>
        <v/>
      </c>
      <c r="G39" s="5" t="str" cm="1">
        <f t="array" ref="G39">IF(操作台!$B$4="议程模板",_xlfn.LET(_xlpm.v,IFERROR(INDEX(_xlfn._xlws.FILTER(模板库!$H$2:$H$1000,(模板库!$B$2:$B$1000=操作台!$F$4)*(模板库!$E$2:$E$1000="item")),36),""),IF(OR(_xlpm.v="",_xlpm.v=0),"",_xlpm.v)),IF(操作台!$B$4="接龙导入",IFERROR(INDEX(计算区!$I$5:$I$25,36),""),""))</f>
        <v/>
      </c>
      <c r="H39" s="5" t="str" cm="1">
        <f t="array" ref="H39">IF(操作台!$B$4="议程模板",_xlfn.LET(_xlpm.v,IFERROR(INDEX(_xlfn._xlws.FILTER(模板库!$I$2:$I$1000,(模板库!$B$2:$B$1000=操作台!$F$4)*(模板库!$E$2:$E$1000="item")),36),""),IF(OR(_xlpm.v="",_xlpm.v=0),"",_xlpm.v)),IF(操作台!$B$4="接龙导入","",""))</f>
        <v/>
      </c>
      <c r="I39" s="5" t="str" cm="1">
        <f t="array" ref="I39">IF(操作台!$B$4="议程模板",_xlfn.LET(_xlpm.v,IFERROR(INDEX(_xlfn._xlws.FILTER(模板库!$J$2:$J$1000,(模板库!$B$2:$B$1000=操作台!$F$4)*(模板库!$E$2:$E$1000="item")),36),""),IF(OR(_xlpm.v="",_xlpm.v=0),"",_xlpm.v)),IF(操作台!$B$4="接龙导入",IFERROR(INDEX(计算区!$J$5:$J$25,36),""),""))</f>
        <v/>
      </c>
      <c r="J39" s="5" t="str" cm="1">
        <f t="array" ref="J39">IF(操作台!$B$4="议程模板",_xlfn.LET(_xlpm.v,IFERROR(INDEX(_xlfn._xlws.FILTER(模板库!$K$2:$K$1000,(模板库!$B$2:$B$1000=操作台!$F$4)*(模板库!$E$2:$E$1000="item")),36),""),IF(OR(_xlpm.v="",_xlpm.v=0),"",_xlpm.v)),IF(操作台!$B$4="接龙导入",IFERROR(INDEX(计算区!$K$5:$K$25,36),""),""))</f>
        <v/>
      </c>
      <c r="K39" s="5" t="str" cm="1">
        <f t="array" ref="K39">IF(操作台!$B$4="议程模板",_xlfn.LET(_xlpm.v,IFERROR(INDEX(_xlfn._xlws.FILTER(模板库!$L$2:$L$1000,(模板库!$B$2:$B$1000=操作台!$F$4)*(模板库!$E$2:$E$1000="item")),36),""),IF(OR(_xlpm.v="",_xlpm.v=0),"",_xlpm.v)),IF(操作台!$B$4="接龙导入",IFERROR(INDEX(计算区!$M$5:$M$25,36),""),""))</f>
        <v/>
      </c>
      <c r="L39" s="23"/>
      <c r="M39" s="24"/>
      <c r="N39" s="24"/>
      <c r="O39" s="24"/>
      <c r="P39" s="25"/>
      <c r="Q39" s="26" t="str">
        <f>IF($B39="","",_xlfn.LET(_xlpm.m,IF($O39&lt;&gt;"",$O39,$J39),_xlpm.p,IF($P39&lt;&gt;"",$P39,IF($K39="","待定",$K39)),_xlpm.title,IF($L39&lt;&gt;"",$L39,$G39),_xlfn.TEXTJOIN("；",TRUE,IF(_xlpm.title="","缺少标题",""),IF(_xlpm.m="","缺少排程分钟",IF(NOT(ISNUMBER(_xlpm.m)),"排程分钟无效","")),IF(_xlpm.p="待定","负责人待定",""),IF(AND($A39&gt;1,$F39=""),"前序排程中断",""))))</f>
        <v/>
      </c>
      <c r="R39" s="28" t="str">
        <f t="shared" si="2"/>
        <v/>
      </c>
      <c r="S39">
        <f t="shared" si="3"/>
        <v>0</v>
      </c>
    </row>
    <row r="40" spans="1:19" ht="27" customHeight="1">
      <c r="A40" s="5">
        <v>37</v>
      </c>
      <c r="B40" s="5" t="str" cm="1">
        <f t="array" ref="B40">IF(操作台!$B$4="议程模板",_xlfn.LET(_xlpm.v,IFERROR(INDEX(_xlfn._xlws.FILTER(模板库!$D$2:$D$1000,(模板库!$B$2:$B$1000=操作台!$F$4)*(模板库!$E$2:$E$1000="item")),37),""),IF(OR(_xlpm.v="",_xlpm.v=0),"",_xlpm.v)),IF(操作台!$B$4="接龙导入",IFERROR(INDEX(计算区!$F$5:$F$25,37),""),IF(COUNTA($L40:$P40)&gt;0,"manual-"&amp;TEXT($A40,"00"),"")))</f>
        <v/>
      </c>
      <c r="C40" s="5" t="str" cm="1">
        <f t="array" ref="C40">IF(操作台!$B$4="议程模板",_xlfn.LET(_xlpm.v,IFERROR(INDEX(_xlfn._xlws.FILTER(模板库!$F$2:$F$1000,(模板库!$B$2:$B$1000=操作台!$F$4)*(模板库!$E$2:$E$1000="item")),37),""),IF(OR(_xlpm.v="",_xlpm.v=0),"",_xlpm.v)),IF(操作台!$B$4="接龙导入",IFERROR(INDEX(计算区!$G$5:$G$25,37),""),IF(COUNTA($L40:$P40)&gt;0,1,"")))</f>
        <v/>
      </c>
      <c r="D40" s="5" t="str" cm="1">
        <f t="array" ref="D40">IF(操作台!$B$4="议程模板",_xlfn.LET(_xlpm.v,IFERROR(INDEX(_xlfn._xlws.FILTER(模板库!$G$2:$G$1000,(模板库!$B$2:$B$1000=操作台!$F$4)*(模板库!$E$2:$E$1000="item")),37),""),IF(OR(_xlpm.v="",_xlpm.v=0),"",_xlpm.v)),IF(操作台!$B$4="接龙导入",IFERROR(INDEX(计算区!$H$5:$H$25,37),""),IF(COUNTA($L40:$P40)&gt;0,"手工议程","")))</f>
        <v/>
      </c>
      <c r="E40" s="5" t="str" cm="1">
        <f t="array" ref="E40">IF(操作台!$B$4="议程模板",_xlfn.LET(_xlpm.v,IFERROR(INDEX(_xlfn._xlws.FILTER(模板库!$M$2:$M$1000,(模板库!$B$2:$B$1000=操作台!$F$4)*(模板库!$E$2:$E$1000="item")),37),""),IF(OR(_xlpm.v="",_xlpm.v=0),"",_xlpm.v)),IF(操作台!$B$4="接龙导入",IFERROR(INDEX(计算区!$N$5:$N$25,37),""),IF(COUNTA($L40:$P40)&gt;0,"plain","")))</f>
        <v/>
      </c>
      <c r="F40" s="27" t="str">
        <f>IF($B40="","",IF(COUNTIF($Q$4:$Q39,"*排程*")&gt;0,"",IF(COUNTIF($B$4:$B39,"&lt;&gt;")=0,IF(操作台!$B$4="接龙导入",IF(计算区!$E$7&lt;&gt;"",计算区!$E$7,操作台!$F$10),操作台!$F$10),MAX($R$4:$R39))))</f>
        <v/>
      </c>
      <c r="G40" s="5" t="str" cm="1">
        <f t="array" ref="G40">IF(操作台!$B$4="议程模板",_xlfn.LET(_xlpm.v,IFERROR(INDEX(_xlfn._xlws.FILTER(模板库!$H$2:$H$1000,(模板库!$B$2:$B$1000=操作台!$F$4)*(模板库!$E$2:$E$1000="item")),37),""),IF(OR(_xlpm.v="",_xlpm.v=0),"",_xlpm.v)),IF(操作台!$B$4="接龙导入",IFERROR(INDEX(计算区!$I$5:$I$25,37),""),""))</f>
        <v/>
      </c>
      <c r="H40" s="5" t="str" cm="1">
        <f t="array" ref="H40">IF(操作台!$B$4="议程模板",_xlfn.LET(_xlpm.v,IFERROR(INDEX(_xlfn._xlws.FILTER(模板库!$I$2:$I$1000,(模板库!$B$2:$B$1000=操作台!$F$4)*(模板库!$E$2:$E$1000="item")),37),""),IF(OR(_xlpm.v="",_xlpm.v=0),"",_xlpm.v)),IF(操作台!$B$4="接龙导入","",""))</f>
        <v/>
      </c>
      <c r="I40" s="5" t="str" cm="1">
        <f t="array" ref="I40">IF(操作台!$B$4="议程模板",_xlfn.LET(_xlpm.v,IFERROR(INDEX(_xlfn._xlws.FILTER(模板库!$J$2:$J$1000,(模板库!$B$2:$B$1000=操作台!$F$4)*(模板库!$E$2:$E$1000="item")),37),""),IF(OR(_xlpm.v="",_xlpm.v=0),"",_xlpm.v)),IF(操作台!$B$4="接龙导入",IFERROR(INDEX(计算区!$J$5:$J$25,37),""),""))</f>
        <v/>
      </c>
      <c r="J40" s="5" t="str" cm="1">
        <f t="array" ref="J40">IF(操作台!$B$4="议程模板",_xlfn.LET(_xlpm.v,IFERROR(INDEX(_xlfn._xlws.FILTER(模板库!$K$2:$K$1000,(模板库!$B$2:$B$1000=操作台!$F$4)*(模板库!$E$2:$E$1000="item")),37),""),IF(OR(_xlpm.v="",_xlpm.v=0),"",_xlpm.v)),IF(操作台!$B$4="接龙导入",IFERROR(INDEX(计算区!$K$5:$K$25,37),""),""))</f>
        <v/>
      </c>
      <c r="K40" s="5" t="str" cm="1">
        <f t="array" ref="K40">IF(操作台!$B$4="议程模板",_xlfn.LET(_xlpm.v,IFERROR(INDEX(_xlfn._xlws.FILTER(模板库!$L$2:$L$1000,(模板库!$B$2:$B$1000=操作台!$F$4)*(模板库!$E$2:$E$1000="item")),37),""),IF(OR(_xlpm.v="",_xlpm.v=0),"",_xlpm.v)),IF(操作台!$B$4="接龙导入",IFERROR(INDEX(计算区!$M$5:$M$25,37),""),""))</f>
        <v/>
      </c>
      <c r="L40" s="23"/>
      <c r="M40" s="24"/>
      <c r="N40" s="24"/>
      <c r="O40" s="24"/>
      <c r="P40" s="25"/>
      <c r="Q40" s="26" t="str">
        <f>IF($B40="","",_xlfn.LET(_xlpm.m,IF($O40&lt;&gt;"",$O40,$J40),_xlpm.p,IF($P40&lt;&gt;"",$P40,IF($K40="","待定",$K40)),_xlpm.title,IF($L40&lt;&gt;"",$L40,$G40),_xlfn.TEXTJOIN("；",TRUE,IF(_xlpm.title="","缺少标题",""),IF(_xlpm.m="","缺少排程分钟",IF(NOT(ISNUMBER(_xlpm.m)),"排程分钟无效","")),IF(_xlpm.p="待定","负责人待定",""),IF(AND($A40&gt;1,$F40=""),"前序排程中断",""))))</f>
        <v/>
      </c>
      <c r="R40" s="28" t="str">
        <f t="shared" si="2"/>
        <v/>
      </c>
      <c r="S40">
        <f t="shared" si="3"/>
        <v>0</v>
      </c>
    </row>
    <row r="41" spans="1:19" ht="27" customHeight="1">
      <c r="A41" s="5">
        <v>38</v>
      </c>
      <c r="B41" s="5" t="str" cm="1">
        <f t="array" ref="B41">IF(操作台!$B$4="议程模板",_xlfn.LET(_xlpm.v,IFERROR(INDEX(_xlfn._xlws.FILTER(模板库!$D$2:$D$1000,(模板库!$B$2:$B$1000=操作台!$F$4)*(模板库!$E$2:$E$1000="item")),38),""),IF(OR(_xlpm.v="",_xlpm.v=0),"",_xlpm.v)),IF(操作台!$B$4="接龙导入",IFERROR(INDEX(计算区!$F$5:$F$25,38),""),IF(COUNTA($L41:$P41)&gt;0,"manual-"&amp;TEXT($A41,"00"),"")))</f>
        <v/>
      </c>
      <c r="C41" s="5" t="str" cm="1">
        <f t="array" ref="C41">IF(操作台!$B$4="议程模板",_xlfn.LET(_xlpm.v,IFERROR(INDEX(_xlfn._xlws.FILTER(模板库!$F$2:$F$1000,(模板库!$B$2:$B$1000=操作台!$F$4)*(模板库!$E$2:$E$1000="item")),38),""),IF(OR(_xlpm.v="",_xlpm.v=0),"",_xlpm.v)),IF(操作台!$B$4="接龙导入",IFERROR(INDEX(计算区!$G$5:$G$25,38),""),IF(COUNTA($L41:$P41)&gt;0,1,"")))</f>
        <v/>
      </c>
      <c r="D41" s="5" t="str" cm="1">
        <f t="array" ref="D41">IF(操作台!$B$4="议程模板",_xlfn.LET(_xlpm.v,IFERROR(INDEX(_xlfn._xlws.FILTER(模板库!$G$2:$G$1000,(模板库!$B$2:$B$1000=操作台!$F$4)*(模板库!$E$2:$E$1000="item")),38),""),IF(OR(_xlpm.v="",_xlpm.v=0),"",_xlpm.v)),IF(操作台!$B$4="接龙导入",IFERROR(INDEX(计算区!$H$5:$H$25,38),""),IF(COUNTA($L41:$P41)&gt;0,"手工议程","")))</f>
        <v/>
      </c>
      <c r="E41" s="5" t="str" cm="1">
        <f t="array" ref="E41">IF(操作台!$B$4="议程模板",_xlfn.LET(_xlpm.v,IFERROR(INDEX(_xlfn._xlws.FILTER(模板库!$M$2:$M$1000,(模板库!$B$2:$B$1000=操作台!$F$4)*(模板库!$E$2:$E$1000="item")),38),""),IF(OR(_xlpm.v="",_xlpm.v=0),"",_xlpm.v)),IF(操作台!$B$4="接龙导入",IFERROR(INDEX(计算区!$N$5:$N$25,38),""),IF(COUNTA($L41:$P41)&gt;0,"plain","")))</f>
        <v/>
      </c>
      <c r="F41" s="27" t="str">
        <f>IF($B41="","",IF(COUNTIF($Q$4:$Q40,"*排程*")&gt;0,"",IF(COUNTIF($B$4:$B40,"&lt;&gt;")=0,IF(操作台!$B$4="接龙导入",IF(计算区!$E$7&lt;&gt;"",计算区!$E$7,操作台!$F$10),操作台!$F$10),MAX($R$4:$R40))))</f>
        <v/>
      </c>
      <c r="G41" s="5" t="str" cm="1">
        <f t="array" ref="G41">IF(操作台!$B$4="议程模板",_xlfn.LET(_xlpm.v,IFERROR(INDEX(_xlfn._xlws.FILTER(模板库!$H$2:$H$1000,(模板库!$B$2:$B$1000=操作台!$F$4)*(模板库!$E$2:$E$1000="item")),38),""),IF(OR(_xlpm.v="",_xlpm.v=0),"",_xlpm.v)),IF(操作台!$B$4="接龙导入",IFERROR(INDEX(计算区!$I$5:$I$25,38),""),""))</f>
        <v/>
      </c>
      <c r="H41" s="5" t="str" cm="1">
        <f t="array" ref="H41">IF(操作台!$B$4="议程模板",_xlfn.LET(_xlpm.v,IFERROR(INDEX(_xlfn._xlws.FILTER(模板库!$I$2:$I$1000,(模板库!$B$2:$B$1000=操作台!$F$4)*(模板库!$E$2:$E$1000="item")),38),""),IF(OR(_xlpm.v="",_xlpm.v=0),"",_xlpm.v)),IF(操作台!$B$4="接龙导入","",""))</f>
        <v/>
      </c>
      <c r="I41" s="5" t="str" cm="1">
        <f t="array" ref="I41">IF(操作台!$B$4="议程模板",_xlfn.LET(_xlpm.v,IFERROR(INDEX(_xlfn._xlws.FILTER(模板库!$J$2:$J$1000,(模板库!$B$2:$B$1000=操作台!$F$4)*(模板库!$E$2:$E$1000="item")),38),""),IF(OR(_xlpm.v="",_xlpm.v=0),"",_xlpm.v)),IF(操作台!$B$4="接龙导入",IFERROR(INDEX(计算区!$J$5:$J$25,38),""),""))</f>
        <v/>
      </c>
      <c r="J41" s="5" t="str" cm="1">
        <f t="array" ref="J41">IF(操作台!$B$4="议程模板",_xlfn.LET(_xlpm.v,IFERROR(INDEX(_xlfn._xlws.FILTER(模板库!$K$2:$K$1000,(模板库!$B$2:$B$1000=操作台!$F$4)*(模板库!$E$2:$E$1000="item")),38),""),IF(OR(_xlpm.v="",_xlpm.v=0),"",_xlpm.v)),IF(操作台!$B$4="接龙导入",IFERROR(INDEX(计算区!$K$5:$K$25,38),""),""))</f>
        <v/>
      </c>
      <c r="K41" s="5" t="str" cm="1">
        <f t="array" ref="K41">IF(操作台!$B$4="议程模板",_xlfn.LET(_xlpm.v,IFERROR(INDEX(_xlfn._xlws.FILTER(模板库!$L$2:$L$1000,(模板库!$B$2:$B$1000=操作台!$F$4)*(模板库!$E$2:$E$1000="item")),38),""),IF(OR(_xlpm.v="",_xlpm.v=0),"",_xlpm.v)),IF(操作台!$B$4="接龙导入",IFERROR(INDEX(计算区!$M$5:$M$25,38),""),""))</f>
        <v/>
      </c>
      <c r="L41" s="23"/>
      <c r="M41" s="24"/>
      <c r="N41" s="24"/>
      <c r="O41" s="24"/>
      <c r="P41" s="25"/>
      <c r="Q41" s="26" t="str">
        <f>IF($B41="","",_xlfn.LET(_xlpm.m,IF($O41&lt;&gt;"",$O41,$J41),_xlpm.p,IF($P41&lt;&gt;"",$P41,IF($K41="","待定",$K41)),_xlpm.title,IF($L41&lt;&gt;"",$L41,$G41),_xlfn.TEXTJOIN("；",TRUE,IF(_xlpm.title="","缺少标题",""),IF(_xlpm.m="","缺少排程分钟",IF(NOT(ISNUMBER(_xlpm.m)),"排程分钟无效","")),IF(_xlpm.p="待定","负责人待定",""),IF(AND($A41&gt;1,$F41=""),"前序排程中断",""))))</f>
        <v/>
      </c>
      <c r="R41" s="28" t="str">
        <f t="shared" si="2"/>
        <v/>
      </c>
      <c r="S41">
        <f t="shared" si="3"/>
        <v>0</v>
      </c>
    </row>
    <row r="42" spans="1:19" ht="27" customHeight="1">
      <c r="A42" s="5">
        <v>39</v>
      </c>
      <c r="B42" s="5" t="str" cm="1">
        <f t="array" ref="B42">IF(操作台!$B$4="议程模板",_xlfn.LET(_xlpm.v,IFERROR(INDEX(_xlfn._xlws.FILTER(模板库!$D$2:$D$1000,(模板库!$B$2:$B$1000=操作台!$F$4)*(模板库!$E$2:$E$1000="item")),39),""),IF(OR(_xlpm.v="",_xlpm.v=0),"",_xlpm.v)),IF(操作台!$B$4="接龙导入",IFERROR(INDEX(计算区!$F$5:$F$25,39),""),IF(COUNTA($L42:$P42)&gt;0,"manual-"&amp;TEXT($A42,"00"),"")))</f>
        <v/>
      </c>
      <c r="C42" s="5" t="str" cm="1">
        <f t="array" ref="C42">IF(操作台!$B$4="议程模板",_xlfn.LET(_xlpm.v,IFERROR(INDEX(_xlfn._xlws.FILTER(模板库!$F$2:$F$1000,(模板库!$B$2:$B$1000=操作台!$F$4)*(模板库!$E$2:$E$1000="item")),39),""),IF(OR(_xlpm.v="",_xlpm.v=0),"",_xlpm.v)),IF(操作台!$B$4="接龙导入",IFERROR(INDEX(计算区!$G$5:$G$25,39),""),IF(COUNTA($L42:$P42)&gt;0,1,"")))</f>
        <v/>
      </c>
      <c r="D42" s="5" t="str" cm="1">
        <f t="array" ref="D42">IF(操作台!$B$4="议程模板",_xlfn.LET(_xlpm.v,IFERROR(INDEX(_xlfn._xlws.FILTER(模板库!$G$2:$G$1000,(模板库!$B$2:$B$1000=操作台!$F$4)*(模板库!$E$2:$E$1000="item")),39),""),IF(OR(_xlpm.v="",_xlpm.v=0),"",_xlpm.v)),IF(操作台!$B$4="接龙导入",IFERROR(INDEX(计算区!$H$5:$H$25,39),""),IF(COUNTA($L42:$P42)&gt;0,"手工议程","")))</f>
        <v/>
      </c>
      <c r="E42" s="5" t="str" cm="1">
        <f t="array" ref="E42">IF(操作台!$B$4="议程模板",_xlfn.LET(_xlpm.v,IFERROR(INDEX(_xlfn._xlws.FILTER(模板库!$M$2:$M$1000,(模板库!$B$2:$B$1000=操作台!$F$4)*(模板库!$E$2:$E$1000="item")),39),""),IF(OR(_xlpm.v="",_xlpm.v=0),"",_xlpm.v)),IF(操作台!$B$4="接龙导入",IFERROR(INDEX(计算区!$N$5:$N$25,39),""),IF(COUNTA($L42:$P42)&gt;0,"plain","")))</f>
        <v/>
      </c>
      <c r="F42" s="27" t="str">
        <f>IF($B42="","",IF(COUNTIF($Q$4:$Q41,"*排程*")&gt;0,"",IF(COUNTIF($B$4:$B41,"&lt;&gt;")=0,IF(操作台!$B$4="接龙导入",IF(计算区!$E$7&lt;&gt;"",计算区!$E$7,操作台!$F$10),操作台!$F$10),MAX($R$4:$R41))))</f>
        <v/>
      </c>
      <c r="G42" s="5" t="str" cm="1">
        <f t="array" ref="G42">IF(操作台!$B$4="议程模板",_xlfn.LET(_xlpm.v,IFERROR(INDEX(_xlfn._xlws.FILTER(模板库!$H$2:$H$1000,(模板库!$B$2:$B$1000=操作台!$F$4)*(模板库!$E$2:$E$1000="item")),39),""),IF(OR(_xlpm.v="",_xlpm.v=0),"",_xlpm.v)),IF(操作台!$B$4="接龙导入",IFERROR(INDEX(计算区!$I$5:$I$25,39),""),""))</f>
        <v/>
      </c>
      <c r="H42" s="5" t="str" cm="1">
        <f t="array" ref="H42">IF(操作台!$B$4="议程模板",_xlfn.LET(_xlpm.v,IFERROR(INDEX(_xlfn._xlws.FILTER(模板库!$I$2:$I$1000,(模板库!$B$2:$B$1000=操作台!$F$4)*(模板库!$E$2:$E$1000="item")),39),""),IF(OR(_xlpm.v="",_xlpm.v=0),"",_xlpm.v)),IF(操作台!$B$4="接龙导入","",""))</f>
        <v/>
      </c>
      <c r="I42" s="5" t="str" cm="1">
        <f t="array" ref="I42">IF(操作台!$B$4="议程模板",_xlfn.LET(_xlpm.v,IFERROR(INDEX(_xlfn._xlws.FILTER(模板库!$J$2:$J$1000,(模板库!$B$2:$B$1000=操作台!$F$4)*(模板库!$E$2:$E$1000="item")),39),""),IF(OR(_xlpm.v="",_xlpm.v=0),"",_xlpm.v)),IF(操作台!$B$4="接龙导入",IFERROR(INDEX(计算区!$J$5:$J$25,39),""),""))</f>
        <v/>
      </c>
      <c r="J42" s="5" t="str" cm="1">
        <f t="array" ref="J42">IF(操作台!$B$4="议程模板",_xlfn.LET(_xlpm.v,IFERROR(INDEX(_xlfn._xlws.FILTER(模板库!$K$2:$K$1000,(模板库!$B$2:$B$1000=操作台!$F$4)*(模板库!$E$2:$E$1000="item")),39),""),IF(OR(_xlpm.v="",_xlpm.v=0),"",_xlpm.v)),IF(操作台!$B$4="接龙导入",IFERROR(INDEX(计算区!$K$5:$K$25,39),""),""))</f>
        <v/>
      </c>
      <c r="K42" s="5" t="str" cm="1">
        <f t="array" ref="K42">IF(操作台!$B$4="议程模板",_xlfn.LET(_xlpm.v,IFERROR(INDEX(_xlfn._xlws.FILTER(模板库!$L$2:$L$1000,(模板库!$B$2:$B$1000=操作台!$F$4)*(模板库!$E$2:$E$1000="item")),39),""),IF(OR(_xlpm.v="",_xlpm.v=0),"",_xlpm.v)),IF(操作台!$B$4="接龙导入",IFERROR(INDEX(计算区!$M$5:$M$25,39),""),""))</f>
        <v/>
      </c>
      <c r="L42" s="23"/>
      <c r="M42" s="24"/>
      <c r="N42" s="24"/>
      <c r="O42" s="24"/>
      <c r="P42" s="25"/>
      <c r="Q42" s="26" t="str">
        <f>IF($B42="","",_xlfn.LET(_xlpm.m,IF($O42&lt;&gt;"",$O42,$J42),_xlpm.p,IF($P42&lt;&gt;"",$P42,IF($K42="","待定",$K42)),_xlpm.title,IF($L42&lt;&gt;"",$L42,$G42),_xlfn.TEXTJOIN("；",TRUE,IF(_xlpm.title="","缺少标题",""),IF(_xlpm.m="","缺少排程分钟",IF(NOT(ISNUMBER(_xlpm.m)),"排程分钟无效","")),IF(_xlpm.p="待定","负责人待定",""),IF(AND($A42&gt;1,$F42=""),"前序排程中断",""))))</f>
        <v/>
      </c>
      <c r="R42" s="28" t="str">
        <f t="shared" si="2"/>
        <v/>
      </c>
      <c r="S42">
        <f t="shared" si="3"/>
        <v>0</v>
      </c>
    </row>
    <row r="43" spans="1:19" ht="27" customHeight="1">
      <c r="A43" s="5">
        <v>40</v>
      </c>
      <c r="B43" s="5" t="str" cm="1">
        <f t="array" ref="B43">IF(操作台!$B$4="议程模板",_xlfn.LET(_xlpm.v,IFERROR(INDEX(_xlfn._xlws.FILTER(模板库!$D$2:$D$1000,(模板库!$B$2:$B$1000=操作台!$F$4)*(模板库!$E$2:$E$1000="item")),40),""),IF(OR(_xlpm.v="",_xlpm.v=0),"",_xlpm.v)),IF(操作台!$B$4="接龙导入",IFERROR(INDEX(计算区!$F$5:$F$25,40),""),IF(COUNTA($L43:$P43)&gt;0,"manual-"&amp;TEXT($A43,"00"),"")))</f>
        <v/>
      </c>
      <c r="C43" s="5" t="str" cm="1">
        <f t="array" ref="C43">IF(操作台!$B$4="议程模板",_xlfn.LET(_xlpm.v,IFERROR(INDEX(_xlfn._xlws.FILTER(模板库!$F$2:$F$1000,(模板库!$B$2:$B$1000=操作台!$F$4)*(模板库!$E$2:$E$1000="item")),40),""),IF(OR(_xlpm.v="",_xlpm.v=0),"",_xlpm.v)),IF(操作台!$B$4="接龙导入",IFERROR(INDEX(计算区!$G$5:$G$25,40),""),IF(COUNTA($L43:$P43)&gt;0,1,"")))</f>
        <v/>
      </c>
      <c r="D43" s="5" t="str" cm="1">
        <f t="array" ref="D43">IF(操作台!$B$4="议程模板",_xlfn.LET(_xlpm.v,IFERROR(INDEX(_xlfn._xlws.FILTER(模板库!$G$2:$G$1000,(模板库!$B$2:$B$1000=操作台!$F$4)*(模板库!$E$2:$E$1000="item")),40),""),IF(OR(_xlpm.v="",_xlpm.v=0),"",_xlpm.v)),IF(操作台!$B$4="接龙导入",IFERROR(INDEX(计算区!$H$5:$H$25,40),""),IF(COUNTA($L43:$P43)&gt;0,"手工议程","")))</f>
        <v/>
      </c>
      <c r="E43" s="5" t="str" cm="1">
        <f t="array" ref="E43">IF(操作台!$B$4="议程模板",_xlfn.LET(_xlpm.v,IFERROR(INDEX(_xlfn._xlws.FILTER(模板库!$M$2:$M$1000,(模板库!$B$2:$B$1000=操作台!$F$4)*(模板库!$E$2:$E$1000="item")),40),""),IF(OR(_xlpm.v="",_xlpm.v=0),"",_xlpm.v)),IF(操作台!$B$4="接龙导入",IFERROR(INDEX(计算区!$N$5:$N$25,40),""),IF(COUNTA($L43:$P43)&gt;0,"plain","")))</f>
        <v/>
      </c>
      <c r="F43" s="27" t="str">
        <f>IF($B43="","",IF(COUNTIF($Q$4:$Q42,"*排程*")&gt;0,"",IF(COUNTIF($B$4:$B42,"&lt;&gt;")=0,IF(操作台!$B$4="接龙导入",IF(计算区!$E$7&lt;&gt;"",计算区!$E$7,操作台!$F$10),操作台!$F$10),MAX($R$4:$R42))))</f>
        <v/>
      </c>
      <c r="G43" s="5" t="str" cm="1">
        <f t="array" ref="G43">IF(操作台!$B$4="议程模板",_xlfn.LET(_xlpm.v,IFERROR(INDEX(_xlfn._xlws.FILTER(模板库!$H$2:$H$1000,(模板库!$B$2:$B$1000=操作台!$F$4)*(模板库!$E$2:$E$1000="item")),40),""),IF(OR(_xlpm.v="",_xlpm.v=0),"",_xlpm.v)),IF(操作台!$B$4="接龙导入",IFERROR(INDEX(计算区!$I$5:$I$25,40),""),""))</f>
        <v/>
      </c>
      <c r="H43" s="5" t="str" cm="1">
        <f t="array" ref="H43">IF(操作台!$B$4="议程模板",_xlfn.LET(_xlpm.v,IFERROR(INDEX(_xlfn._xlws.FILTER(模板库!$I$2:$I$1000,(模板库!$B$2:$B$1000=操作台!$F$4)*(模板库!$E$2:$E$1000="item")),40),""),IF(OR(_xlpm.v="",_xlpm.v=0),"",_xlpm.v)),IF(操作台!$B$4="接龙导入","",""))</f>
        <v/>
      </c>
      <c r="I43" s="5" t="str" cm="1">
        <f t="array" ref="I43">IF(操作台!$B$4="议程模板",_xlfn.LET(_xlpm.v,IFERROR(INDEX(_xlfn._xlws.FILTER(模板库!$J$2:$J$1000,(模板库!$B$2:$B$1000=操作台!$F$4)*(模板库!$E$2:$E$1000="item")),40),""),IF(OR(_xlpm.v="",_xlpm.v=0),"",_xlpm.v)),IF(操作台!$B$4="接龙导入",IFERROR(INDEX(计算区!$J$5:$J$25,40),""),""))</f>
        <v/>
      </c>
      <c r="J43" s="5" t="str" cm="1">
        <f t="array" ref="J43">IF(操作台!$B$4="议程模板",_xlfn.LET(_xlpm.v,IFERROR(INDEX(_xlfn._xlws.FILTER(模板库!$K$2:$K$1000,(模板库!$B$2:$B$1000=操作台!$F$4)*(模板库!$E$2:$E$1000="item")),40),""),IF(OR(_xlpm.v="",_xlpm.v=0),"",_xlpm.v)),IF(操作台!$B$4="接龙导入",IFERROR(INDEX(计算区!$K$5:$K$25,40),""),""))</f>
        <v/>
      </c>
      <c r="K43" s="5" t="str" cm="1">
        <f t="array" ref="K43">IF(操作台!$B$4="议程模板",_xlfn.LET(_xlpm.v,IFERROR(INDEX(_xlfn._xlws.FILTER(模板库!$L$2:$L$1000,(模板库!$B$2:$B$1000=操作台!$F$4)*(模板库!$E$2:$E$1000="item")),40),""),IF(OR(_xlpm.v="",_xlpm.v=0),"",_xlpm.v)),IF(操作台!$B$4="接龙导入",IFERROR(INDEX(计算区!$M$5:$M$25,40),""),""))</f>
        <v/>
      </c>
      <c r="L43" s="23"/>
      <c r="M43" s="24"/>
      <c r="N43" s="24"/>
      <c r="O43" s="24"/>
      <c r="P43" s="25"/>
      <c r="Q43" s="26" t="str">
        <f>IF($B43="","",_xlfn.LET(_xlpm.m,IF($O43&lt;&gt;"",$O43,$J43),_xlpm.p,IF($P43&lt;&gt;"",$P43,IF($K43="","待定",$K43)),_xlpm.title,IF($L43&lt;&gt;"",$L43,$G43),_xlfn.TEXTJOIN("；",TRUE,IF(_xlpm.title="","缺少标题",""),IF(_xlpm.m="","缺少排程分钟",IF(NOT(ISNUMBER(_xlpm.m)),"排程分钟无效","")),IF(_xlpm.p="待定","负责人待定",""),IF(AND($A43&gt;1,$F43=""),"前序排程中断",""))))</f>
        <v/>
      </c>
      <c r="R43" s="28" t="str">
        <f t="shared" si="2"/>
        <v/>
      </c>
      <c r="S43">
        <f t="shared" si="3"/>
        <v>0</v>
      </c>
    </row>
    <row r="44" spans="1:19" ht="27" customHeight="1">
      <c r="A44" s="5">
        <v>41</v>
      </c>
      <c r="B44" s="5" t="str" cm="1">
        <f t="array" ref="B44">IF(操作台!$B$4="议程模板",_xlfn.LET(_xlpm.v,IFERROR(INDEX(_xlfn._xlws.FILTER(模板库!$D$2:$D$1000,(模板库!$B$2:$B$1000=操作台!$F$4)*(模板库!$E$2:$E$1000="item")),41),""),IF(OR(_xlpm.v="",_xlpm.v=0),"",_xlpm.v)),IF(操作台!$B$4="接龙导入",IFERROR(INDEX(计算区!$F$5:$F$25,41),""),IF(COUNTA($L44:$P44)&gt;0,"manual-"&amp;TEXT($A44,"00"),"")))</f>
        <v/>
      </c>
      <c r="C44" s="5" t="str" cm="1">
        <f t="array" ref="C44">IF(操作台!$B$4="议程模板",_xlfn.LET(_xlpm.v,IFERROR(INDEX(_xlfn._xlws.FILTER(模板库!$F$2:$F$1000,(模板库!$B$2:$B$1000=操作台!$F$4)*(模板库!$E$2:$E$1000="item")),41),""),IF(OR(_xlpm.v="",_xlpm.v=0),"",_xlpm.v)),IF(操作台!$B$4="接龙导入",IFERROR(INDEX(计算区!$G$5:$G$25,41),""),IF(COUNTA($L44:$P44)&gt;0,1,"")))</f>
        <v/>
      </c>
      <c r="D44" s="5" t="str" cm="1">
        <f t="array" ref="D44">IF(操作台!$B$4="议程模板",_xlfn.LET(_xlpm.v,IFERROR(INDEX(_xlfn._xlws.FILTER(模板库!$G$2:$G$1000,(模板库!$B$2:$B$1000=操作台!$F$4)*(模板库!$E$2:$E$1000="item")),41),""),IF(OR(_xlpm.v="",_xlpm.v=0),"",_xlpm.v)),IF(操作台!$B$4="接龙导入",IFERROR(INDEX(计算区!$H$5:$H$25,41),""),IF(COUNTA($L44:$P44)&gt;0,"手工议程","")))</f>
        <v/>
      </c>
      <c r="E44" s="5" t="str" cm="1">
        <f t="array" ref="E44">IF(操作台!$B$4="议程模板",_xlfn.LET(_xlpm.v,IFERROR(INDEX(_xlfn._xlws.FILTER(模板库!$M$2:$M$1000,(模板库!$B$2:$B$1000=操作台!$F$4)*(模板库!$E$2:$E$1000="item")),41),""),IF(OR(_xlpm.v="",_xlpm.v=0),"",_xlpm.v)),IF(操作台!$B$4="接龙导入",IFERROR(INDEX(计算区!$N$5:$N$25,41),""),IF(COUNTA($L44:$P44)&gt;0,"plain","")))</f>
        <v/>
      </c>
      <c r="F44" s="27" t="str">
        <f>IF($B44="","",IF(COUNTIF($Q$4:$Q43,"*排程*")&gt;0,"",IF(COUNTIF($B$4:$B43,"&lt;&gt;")=0,IF(操作台!$B$4="接龙导入",IF(计算区!$E$7&lt;&gt;"",计算区!$E$7,操作台!$F$10),操作台!$F$10),MAX($R$4:$R43))))</f>
        <v/>
      </c>
      <c r="G44" s="5" t="str" cm="1">
        <f t="array" ref="G44">IF(操作台!$B$4="议程模板",_xlfn.LET(_xlpm.v,IFERROR(INDEX(_xlfn._xlws.FILTER(模板库!$H$2:$H$1000,(模板库!$B$2:$B$1000=操作台!$F$4)*(模板库!$E$2:$E$1000="item")),41),""),IF(OR(_xlpm.v="",_xlpm.v=0),"",_xlpm.v)),IF(操作台!$B$4="接龙导入",IFERROR(INDEX(计算区!$I$5:$I$25,41),""),""))</f>
        <v/>
      </c>
      <c r="H44" s="5" t="str" cm="1">
        <f t="array" ref="H44">IF(操作台!$B$4="议程模板",_xlfn.LET(_xlpm.v,IFERROR(INDEX(_xlfn._xlws.FILTER(模板库!$I$2:$I$1000,(模板库!$B$2:$B$1000=操作台!$F$4)*(模板库!$E$2:$E$1000="item")),41),""),IF(OR(_xlpm.v="",_xlpm.v=0),"",_xlpm.v)),IF(操作台!$B$4="接龙导入","",""))</f>
        <v/>
      </c>
      <c r="I44" s="5" t="str" cm="1">
        <f t="array" ref="I44">IF(操作台!$B$4="议程模板",_xlfn.LET(_xlpm.v,IFERROR(INDEX(_xlfn._xlws.FILTER(模板库!$J$2:$J$1000,(模板库!$B$2:$B$1000=操作台!$F$4)*(模板库!$E$2:$E$1000="item")),41),""),IF(OR(_xlpm.v="",_xlpm.v=0),"",_xlpm.v)),IF(操作台!$B$4="接龙导入",IFERROR(INDEX(计算区!$J$5:$J$25,41),""),""))</f>
        <v/>
      </c>
      <c r="J44" s="5" t="str" cm="1">
        <f t="array" ref="J44">IF(操作台!$B$4="议程模板",_xlfn.LET(_xlpm.v,IFERROR(INDEX(_xlfn._xlws.FILTER(模板库!$K$2:$K$1000,(模板库!$B$2:$B$1000=操作台!$F$4)*(模板库!$E$2:$E$1000="item")),41),""),IF(OR(_xlpm.v="",_xlpm.v=0),"",_xlpm.v)),IF(操作台!$B$4="接龙导入",IFERROR(INDEX(计算区!$K$5:$K$25,41),""),""))</f>
        <v/>
      </c>
      <c r="K44" s="5" t="str" cm="1">
        <f t="array" ref="K44">IF(操作台!$B$4="议程模板",_xlfn.LET(_xlpm.v,IFERROR(INDEX(_xlfn._xlws.FILTER(模板库!$L$2:$L$1000,(模板库!$B$2:$B$1000=操作台!$F$4)*(模板库!$E$2:$E$1000="item")),41),""),IF(OR(_xlpm.v="",_xlpm.v=0),"",_xlpm.v)),IF(操作台!$B$4="接龙导入",IFERROR(INDEX(计算区!$M$5:$M$25,41),""),""))</f>
        <v/>
      </c>
      <c r="L44" s="23"/>
      <c r="M44" s="24"/>
      <c r="N44" s="24"/>
      <c r="O44" s="24"/>
      <c r="P44" s="25"/>
      <c r="Q44" s="26" t="str">
        <f>IF($B44="","",_xlfn.LET(_xlpm.m,IF($O44&lt;&gt;"",$O44,$J44),_xlpm.p,IF($P44&lt;&gt;"",$P44,IF($K44="","待定",$K44)),_xlpm.title,IF($L44&lt;&gt;"",$L44,$G44),_xlfn.TEXTJOIN("；",TRUE,IF(_xlpm.title="","缺少标题",""),IF(_xlpm.m="","缺少排程分钟",IF(NOT(ISNUMBER(_xlpm.m)),"排程分钟无效","")),IF(_xlpm.p="待定","负责人待定",""),IF(AND($A44&gt;1,$F44=""),"前序排程中断",""))))</f>
        <v/>
      </c>
      <c r="R44" s="28" t="str">
        <f t="shared" si="2"/>
        <v/>
      </c>
      <c r="S44">
        <f t="shared" si="3"/>
        <v>0</v>
      </c>
    </row>
    <row r="45" spans="1:19" ht="27" customHeight="1">
      <c r="A45" s="5">
        <v>42</v>
      </c>
      <c r="B45" s="5" t="str" cm="1">
        <f t="array" ref="B45">IF(操作台!$B$4="议程模板",_xlfn.LET(_xlpm.v,IFERROR(INDEX(_xlfn._xlws.FILTER(模板库!$D$2:$D$1000,(模板库!$B$2:$B$1000=操作台!$F$4)*(模板库!$E$2:$E$1000="item")),42),""),IF(OR(_xlpm.v="",_xlpm.v=0),"",_xlpm.v)),IF(操作台!$B$4="接龙导入",IFERROR(INDEX(计算区!$F$5:$F$25,42),""),IF(COUNTA($L45:$P45)&gt;0,"manual-"&amp;TEXT($A45,"00"),"")))</f>
        <v/>
      </c>
      <c r="C45" s="5" t="str" cm="1">
        <f t="array" ref="C45">IF(操作台!$B$4="议程模板",_xlfn.LET(_xlpm.v,IFERROR(INDEX(_xlfn._xlws.FILTER(模板库!$F$2:$F$1000,(模板库!$B$2:$B$1000=操作台!$F$4)*(模板库!$E$2:$E$1000="item")),42),""),IF(OR(_xlpm.v="",_xlpm.v=0),"",_xlpm.v)),IF(操作台!$B$4="接龙导入",IFERROR(INDEX(计算区!$G$5:$G$25,42),""),IF(COUNTA($L45:$P45)&gt;0,1,"")))</f>
        <v/>
      </c>
      <c r="D45" s="5" t="str" cm="1">
        <f t="array" ref="D45">IF(操作台!$B$4="议程模板",_xlfn.LET(_xlpm.v,IFERROR(INDEX(_xlfn._xlws.FILTER(模板库!$G$2:$G$1000,(模板库!$B$2:$B$1000=操作台!$F$4)*(模板库!$E$2:$E$1000="item")),42),""),IF(OR(_xlpm.v="",_xlpm.v=0),"",_xlpm.v)),IF(操作台!$B$4="接龙导入",IFERROR(INDEX(计算区!$H$5:$H$25,42),""),IF(COUNTA($L45:$P45)&gt;0,"手工议程","")))</f>
        <v/>
      </c>
      <c r="E45" s="5" t="str" cm="1">
        <f t="array" ref="E45">IF(操作台!$B$4="议程模板",_xlfn.LET(_xlpm.v,IFERROR(INDEX(_xlfn._xlws.FILTER(模板库!$M$2:$M$1000,(模板库!$B$2:$B$1000=操作台!$F$4)*(模板库!$E$2:$E$1000="item")),42),""),IF(OR(_xlpm.v="",_xlpm.v=0),"",_xlpm.v)),IF(操作台!$B$4="接龙导入",IFERROR(INDEX(计算区!$N$5:$N$25,42),""),IF(COUNTA($L45:$P45)&gt;0,"plain","")))</f>
        <v/>
      </c>
      <c r="F45" s="27" t="str">
        <f>IF($B45="","",IF(COUNTIF($Q$4:$Q44,"*排程*")&gt;0,"",IF(COUNTIF($B$4:$B44,"&lt;&gt;")=0,IF(操作台!$B$4="接龙导入",IF(计算区!$E$7&lt;&gt;"",计算区!$E$7,操作台!$F$10),操作台!$F$10),MAX($R$4:$R44))))</f>
        <v/>
      </c>
      <c r="G45" s="5" t="str" cm="1">
        <f t="array" ref="G45">IF(操作台!$B$4="议程模板",_xlfn.LET(_xlpm.v,IFERROR(INDEX(_xlfn._xlws.FILTER(模板库!$H$2:$H$1000,(模板库!$B$2:$B$1000=操作台!$F$4)*(模板库!$E$2:$E$1000="item")),42),""),IF(OR(_xlpm.v="",_xlpm.v=0),"",_xlpm.v)),IF(操作台!$B$4="接龙导入",IFERROR(INDEX(计算区!$I$5:$I$25,42),""),""))</f>
        <v/>
      </c>
      <c r="H45" s="5" t="str" cm="1">
        <f t="array" ref="H45">IF(操作台!$B$4="议程模板",_xlfn.LET(_xlpm.v,IFERROR(INDEX(_xlfn._xlws.FILTER(模板库!$I$2:$I$1000,(模板库!$B$2:$B$1000=操作台!$F$4)*(模板库!$E$2:$E$1000="item")),42),""),IF(OR(_xlpm.v="",_xlpm.v=0),"",_xlpm.v)),IF(操作台!$B$4="接龙导入","",""))</f>
        <v/>
      </c>
      <c r="I45" s="5" t="str" cm="1">
        <f t="array" ref="I45">IF(操作台!$B$4="议程模板",_xlfn.LET(_xlpm.v,IFERROR(INDEX(_xlfn._xlws.FILTER(模板库!$J$2:$J$1000,(模板库!$B$2:$B$1000=操作台!$F$4)*(模板库!$E$2:$E$1000="item")),42),""),IF(OR(_xlpm.v="",_xlpm.v=0),"",_xlpm.v)),IF(操作台!$B$4="接龙导入",IFERROR(INDEX(计算区!$J$5:$J$25,42),""),""))</f>
        <v/>
      </c>
      <c r="J45" s="5" t="str" cm="1">
        <f t="array" ref="J45">IF(操作台!$B$4="议程模板",_xlfn.LET(_xlpm.v,IFERROR(INDEX(_xlfn._xlws.FILTER(模板库!$K$2:$K$1000,(模板库!$B$2:$B$1000=操作台!$F$4)*(模板库!$E$2:$E$1000="item")),42),""),IF(OR(_xlpm.v="",_xlpm.v=0),"",_xlpm.v)),IF(操作台!$B$4="接龙导入",IFERROR(INDEX(计算区!$K$5:$K$25,42),""),""))</f>
        <v/>
      </c>
      <c r="K45" s="5" t="str" cm="1">
        <f t="array" ref="K45">IF(操作台!$B$4="议程模板",_xlfn.LET(_xlpm.v,IFERROR(INDEX(_xlfn._xlws.FILTER(模板库!$L$2:$L$1000,(模板库!$B$2:$B$1000=操作台!$F$4)*(模板库!$E$2:$E$1000="item")),42),""),IF(OR(_xlpm.v="",_xlpm.v=0),"",_xlpm.v)),IF(操作台!$B$4="接龙导入",IFERROR(INDEX(计算区!$M$5:$M$25,42),""),""))</f>
        <v/>
      </c>
      <c r="L45" s="23"/>
      <c r="M45" s="24"/>
      <c r="N45" s="24"/>
      <c r="O45" s="24"/>
      <c r="P45" s="25"/>
      <c r="Q45" s="26" t="str">
        <f>IF($B45="","",_xlfn.LET(_xlpm.m,IF($O45&lt;&gt;"",$O45,$J45),_xlpm.p,IF($P45&lt;&gt;"",$P45,IF($K45="","待定",$K45)),_xlpm.title,IF($L45&lt;&gt;"",$L45,$G45),_xlfn.TEXTJOIN("；",TRUE,IF(_xlpm.title="","缺少标题",""),IF(_xlpm.m="","缺少排程分钟",IF(NOT(ISNUMBER(_xlpm.m)),"排程分钟无效","")),IF(_xlpm.p="待定","负责人待定",""),IF(AND($A45&gt;1,$F45=""),"前序排程中断",""))))</f>
        <v/>
      </c>
      <c r="R45" s="28" t="str">
        <f t="shared" si="2"/>
        <v/>
      </c>
      <c r="S45">
        <f t="shared" si="3"/>
        <v>0</v>
      </c>
    </row>
    <row r="46" spans="1:19" ht="27" customHeight="1">
      <c r="A46" s="5">
        <v>43</v>
      </c>
      <c r="B46" s="5" t="str" cm="1">
        <f t="array" ref="B46">IF(操作台!$B$4="议程模板",_xlfn.LET(_xlpm.v,IFERROR(INDEX(_xlfn._xlws.FILTER(模板库!$D$2:$D$1000,(模板库!$B$2:$B$1000=操作台!$F$4)*(模板库!$E$2:$E$1000="item")),43),""),IF(OR(_xlpm.v="",_xlpm.v=0),"",_xlpm.v)),IF(操作台!$B$4="接龙导入",IFERROR(INDEX(计算区!$F$5:$F$25,43),""),IF(COUNTA($L46:$P46)&gt;0,"manual-"&amp;TEXT($A46,"00"),"")))</f>
        <v/>
      </c>
      <c r="C46" s="5" t="str" cm="1">
        <f t="array" ref="C46">IF(操作台!$B$4="议程模板",_xlfn.LET(_xlpm.v,IFERROR(INDEX(_xlfn._xlws.FILTER(模板库!$F$2:$F$1000,(模板库!$B$2:$B$1000=操作台!$F$4)*(模板库!$E$2:$E$1000="item")),43),""),IF(OR(_xlpm.v="",_xlpm.v=0),"",_xlpm.v)),IF(操作台!$B$4="接龙导入",IFERROR(INDEX(计算区!$G$5:$G$25,43),""),IF(COUNTA($L46:$P46)&gt;0,1,"")))</f>
        <v/>
      </c>
      <c r="D46" s="5" t="str" cm="1">
        <f t="array" ref="D46">IF(操作台!$B$4="议程模板",_xlfn.LET(_xlpm.v,IFERROR(INDEX(_xlfn._xlws.FILTER(模板库!$G$2:$G$1000,(模板库!$B$2:$B$1000=操作台!$F$4)*(模板库!$E$2:$E$1000="item")),43),""),IF(OR(_xlpm.v="",_xlpm.v=0),"",_xlpm.v)),IF(操作台!$B$4="接龙导入",IFERROR(INDEX(计算区!$H$5:$H$25,43),""),IF(COUNTA($L46:$P46)&gt;0,"手工议程","")))</f>
        <v/>
      </c>
      <c r="E46" s="5" t="str" cm="1">
        <f t="array" ref="E46">IF(操作台!$B$4="议程模板",_xlfn.LET(_xlpm.v,IFERROR(INDEX(_xlfn._xlws.FILTER(模板库!$M$2:$M$1000,(模板库!$B$2:$B$1000=操作台!$F$4)*(模板库!$E$2:$E$1000="item")),43),""),IF(OR(_xlpm.v="",_xlpm.v=0),"",_xlpm.v)),IF(操作台!$B$4="接龙导入",IFERROR(INDEX(计算区!$N$5:$N$25,43),""),IF(COUNTA($L46:$P46)&gt;0,"plain","")))</f>
        <v/>
      </c>
      <c r="F46" s="27" t="str">
        <f>IF($B46="","",IF(COUNTIF($Q$4:$Q45,"*排程*")&gt;0,"",IF(COUNTIF($B$4:$B45,"&lt;&gt;")=0,IF(操作台!$B$4="接龙导入",IF(计算区!$E$7&lt;&gt;"",计算区!$E$7,操作台!$F$10),操作台!$F$10),MAX($R$4:$R45))))</f>
        <v/>
      </c>
      <c r="G46" s="5" t="str" cm="1">
        <f t="array" ref="G46">IF(操作台!$B$4="议程模板",_xlfn.LET(_xlpm.v,IFERROR(INDEX(_xlfn._xlws.FILTER(模板库!$H$2:$H$1000,(模板库!$B$2:$B$1000=操作台!$F$4)*(模板库!$E$2:$E$1000="item")),43),""),IF(OR(_xlpm.v="",_xlpm.v=0),"",_xlpm.v)),IF(操作台!$B$4="接龙导入",IFERROR(INDEX(计算区!$I$5:$I$25,43),""),""))</f>
        <v/>
      </c>
      <c r="H46" s="5" t="str" cm="1">
        <f t="array" ref="H46">IF(操作台!$B$4="议程模板",_xlfn.LET(_xlpm.v,IFERROR(INDEX(_xlfn._xlws.FILTER(模板库!$I$2:$I$1000,(模板库!$B$2:$B$1000=操作台!$F$4)*(模板库!$E$2:$E$1000="item")),43),""),IF(OR(_xlpm.v="",_xlpm.v=0),"",_xlpm.v)),IF(操作台!$B$4="接龙导入","",""))</f>
        <v/>
      </c>
      <c r="I46" s="5" t="str" cm="1">
        <f t="array" ref="I46">IF(操作台!$B$4="议程模板",_xlfn.LET(_xlpm.v,IFERROR(INDEX(_xlfn._xlws.FILTER(模板库!$J$2:$J$1000,(模板库!$B$2:$B$1000=操作台!$F$4)*(模板库!$E$2:$E$1000="item")),43),""),IF(OR(_xlpm.v="",_xlpm.v=0),"",_xlpm.v)),IF(操作台!$B$4="接龙导入",IFERROR(INDEX(计算区!$J$5:$J$25,43),""),""))</f>
        <v/>
      </c>
      <c r="J46" s="5" t="str" cm="1">
        <f t="array" ref="J46">IF(操作台!$B$4="议程模板",_xlfn.LET(_xlpm.v,IFERROR(INDEX(_xlfn._xlws.FILTER(模板库!$K$2:$K$1000,(模板库!$B$2:$B$1000=操作台!$F$4)*(模板库!$E$2:$E$1000="item")),43),""),IF(OR(_xlpm.v="",_xlpm.v=0),"",_xlpm.v)),IF(操作台!$B$4="接龙导入",IFERROR(INDEX(计算区!$K$5:$K$25,43),""),""))</f>
        <v/>
      </c>
      <c r="K46" s="5" t="str" cm="1">
        <f t="array" ref="K46">IF(操作台!$B$4="议程模板",_xlfn.LET(_xlpm.v,IFERROR(INDEX(_xlfn._xlws.FILTER(模板库!$L$2:$L$1000,(模板库!$B$2:$B$1000=操作台!$F$4)*(模板库!$E$2:$E$1000="item")),43),""),IF(OR(_xlpm.v="",_xlpm.v=0),"",_xlpm.v)),IF(操作台!$B$4="接龙导入",IFERROR(INDEX(计算区!$M$5:$M$25,43),""),""))</f>
        <v/>
      </c>
      <c r="L46" s="23"/>
      <c r="M46" s="24"/>
      <c r="N46" s="24"/>
      <c r="O46" s="24"/>
      <c r="P46" s="25"/>
      <c r="Q46" s="26" t="str">
        <f>IF($B46="","",_xlfn.LET(_xlpm.m,IF($O46&lt;&gt;"",$O46,$J46),_xlpm.p,IF($P46&lt;&gt;"",$P46,IF($K46="","待定",$K46)),_xlpm.title,IF($L46&lt;&gt;"",$L46,$G46),_xlfn.TEXTJOIN("；",TRUE,IF(_xlpm.title="","缺少标题",""),IF(_xlpm.m="","缺少排程分钟",IF(NOT(ISNUMBER(_xlpm.m)),"排程分钟无效","")),IF(_xlpm.p="待定","负责人待定",""),IF(AND($A46&gt;1,$F46=""),"前序排程中断",""))))</f>
        <v/>
      </c>
      <c r="R46" s="28" t="str">
        <f t="shared" si="2"/>
        <v/>
      </c>
      <c r="S46">
        <f t="shared" si="3"/>
        <v>0</v>
      </c>
    </row>
    <row r="47" spans="1:19" ht="27" customHeight="1">
      <c r="A47" s="5">
        <v>44</v>
      </c>
      <c r="B47" s="5" t="str" cm="1">
        <f t="array" ref="B47">IF(操作台!$B$4="议程模板",_xlfn.LET(_xlpm.v,IFERROR(INDEX(_xlfn._xlws.FILTER(模板库!$D$2:$D$1000,(模板库!$B$2:$B$1000=操作台!$F$4)*(模板库!$E$2:$E$1000="item")),44),""),IF(OR(_xlpm.v="",_xlpm.v=0),"",_xlpm.v)),IF(操作台!$B$4="接龙导入",IFERROR(INDEX(计算区!$F$5:$F$25,44),""),IF(COUNTA($L47:$P47)&gt;0,"manual-"&amp;TEXT($A47,"00"),"")))</f>
        <v/>
      </c>
      <c r="C47" s="5" t="str" cm="1">
        <f t="array" ref="C47">IF(操作台!$B$4="议程模板",_xlfn.LET(_xlpm.v,IFERROR(INDEX(_xlfn._xlws.FILTER(模板库!$F$2:$F$1000,(模板库!$B$2:$B$1000=操作台!$F$4)*(模板库!$E$2:$E$1000="item")),44),""),IF(OR(_xlpm.v="",_xlpm.v=0),"",_xlpm.v)),IF(操作台!$B$4="接龙导入",IFERROR(INDEX(计算区!$G$5:$G$25,44),""),IF(COUNTA($L47:$P47)&gt;0,1,"")))</f>
        <v/>
      </c>
      <c r="D47" s="5" t="str" cm="1">
        <f t="array" ref="D47">IF(操作台!$B$4="议程模板",_xlfn.LET(_xlpm.v,IFERROR(INDEX(_xlfn._xlws.FILTER(模板库!$G$2:$G$1000,(模板库!$B$2:$B$1000=操作台!$F$4)*(模板库!$E$2:$E$1000="item")),44),""),IF(OR(_xlpm.v="",_xlpm.v=0),"",_xlpm.v)),IF(操作台!$B$4="接龙导入",IFERROR(INDEX(计算区!$H$5:$H$25,44),""),IF(COUNTA($L47:$P47)&gt;0,"手工议程","")))</f>
        <v/>
      </c>
      <c r="E47" s="5" t="str" cm="1">
        <f t="array" ref="E47">IF(操作台!$B$4="议程模板",_xlfn.LET(_xlpm.v,IFERROR(INDEX(_xlfn._xlws.FILTER(模板库!$M$2:$M$1000,(模板库!$B$2:$B$1000=操作台!$F$4)*(模板库!$E$2:$E$1000="item")),44),""),IF(OR(_xlpm.v="",_xlpm.v=0),"",_xlpm.v)),IF(操作台!$B$4="接龙导入",IFERROR(INDEX(计算区!$N$5:$N$25,44),""),IF(COUNTA($L47:$P47)&gt;0,"plain","")))</f>
        <v/>
      </c>
      <c r="F47" s="27" t="str">
        <f>IF($B47="","",IF(COUNTIF($Q$4:$Q46,"*排程*")&gt;0,"",IF(COUNTIF($B$4:$B46,"&lt;&gt;")=0,IF(操作台!$B$4="接龙导入",IF(计算区!$E$7&lt;&gt;"",计算区!$E$7,操作台!$F$10),操作台!$F$10),MAX($R$4:$R46))))</f>
        <v/>
      </c>
      <c r="G47" s="5" t="str" cm="1">
        <f t="array" ref="G47">IF(操作台!$B$4="议程模板",_xlfn.LET(_xlpm.v,IFERROR(INDEX(_xlfn._xlws.FILTER(模板库!$H$2:$H$1000,(模板库!$B$2:$B$1000=操作台!$F$4)*(模板库!$E$2:$E$1000="item")),44),""),IF(OR(_xlpm.v="",_xlpm.v=0),"",_xlpm.v)),IF(操作台!$B$4="接龙导入",IFERROR(INDEX(计算区!$I$5:$I$25,44),""),""))</f>
        <v/>
      </c>
      <c r="H47" s="5" t="str" cm="1">
        <f t="array" ref="H47">IF(操作台!$B$4="议程模板",_xlfn.LET(_xlpm.v,IFERROR(INDEX(_xlfn._xlws.FILTER(模板库!$I$2:$I$1000,(模板库!$B$2:$B$1000=操作台!$F$4)*(模板库!$E$2:$E$1000="item")),44),""),IF(OR(_xlpm.v="",_xlpm.v=0),"",_xlpm.v)),IF(操作台!$B$4="接龙导入","",""))</f>
        <v/>
      </c>
      <c r="I47" s="5" t="str" cm="1">
        <f t="array" ref="I47">IF(操作台!$B$4="议程模板",_xlfn.LET(_xlpm.v,IFERROR(INDEX(_xlfn._xlws.FILTER(模板库!$J$2:$J$1000,(模板库!$B$2:$B$1000=操作台!$F$4)*(模板库!$E$2:$E$1000="item")),44),""),IF(OR(_xlpm.v="",_xlpm.v=0),"",_xlpm.v)),IF(操作台!$B$4="接龙导入",IFERROR(INDEX(计算区!$J$5:$J$25,44),""),""))</f>
        <v/>
      </c>
      <c r="J47" s="5" t="str" cm="1">
        <f t="array" ref="J47">IF(操作台!$B$4="议程模板",_xlfn.LET(_xlpm.v,IFERROR(INDEX(_xlfn._xlws.FILTER(模板库!$K$2:$K$1000,(模板库!$B$2:$B$1000=操作台!$F$4)*(模板库!$E$2:$E$1000="item")),44),""),IF(OR(_xlpm.v="",_xlpm.v=0),"",_xlpm.v)),IF(操作台!$B$4="接龙导入",IFERROR(INDEX(计算区!$K$5:$K$25,44),""),""))</f>
        <v/>
      </c>
      <c r="K47" s="5" t="str" cm="1">
        <f t="array" ref="K47">IF(操作台!$B$4="议程模板",_xlfn.LET(_xlpm.v,IFERROR(INDEX(_xlfn._xlws.FILTER(模板库!$L$2:$L$1000,(模板库!$B$2:$B$1000=操作台!$F$4)*(模板库!$E$2:$E$1000="item")),44),""),IF(OR(_xlpm.v="",_xlpm.v=0),"",_xlpm.v)),IF(操作台!$B$4="接龙导入",IFERROR(INDEX(计算区!$M$5:$M$25,44),""),""))</f>
        <v/>
      </c>
      <c r="L47" s="23"/>
      <c r="M47" s="24"/>
      <c r="N47" s="24"/>
      <c r="O47" s="24"/>
      <c r="P47" s="25"/>
      <c r="Q47" s="26" t="str">
        <f>IF($B47="","",_xlfn.LET(_xlpm.m,IF($O47&lt;&gt;"",$O47,$J47),_xlpm.p,IF($P47&lt;&gt;"",$P47,IF($K47="","待定",$K47)),_xlpm.title,IF($L47&lt;&gt;"",$L47,$G47),_xlfn.TEXTJOIN("；",TRUE,IF(_xlpm.title="","缺少标题",""),IF(_xlpm.m="","缺少排程分钟",IF(NOT(ISNUMBER(_xlpm.m)),"排程分钟无效","")),IF(_xlpm.p="待定","负责人待定",""),IF(AND($A47&gt;1,$F47=""),"前序排程中断",""))))</f>
        <v/>
      </c>
      <c r="R47" s="28" t="str">
        <f t="shared" si="2"/>
        <v/>
      </c>
      <c r="S47">
        <f t="shared" si="3"/>
        <v>0</v>
      </c>
    </row>
    <row r="48" spans="1:19" ht="27" customHeight="1">
      <c r="A48" s="5">
        <v>45</v>
      </c>
      <c r="B48" s="5" t="str" cm="1">
        <f t="array" ref="B48">IF(操作台!$B$4="议程模板",_xlfn.LET(_xlpm.v,IFERROR(INDEX(_xlfn._xlws.FILTER(模板库!$D$2:$D$1000,(模板库!$B$2:$B$1000=操作台!$F$4)*(模板库!$E$2:$E$1000="item")),45),""),IF(OR(_xlpm.v="",_xlpm.v=0),"",_xlpm.v)),IF(操作台!$B$4="接龙导入",IFERROR(INDEX(计算区!$F$5:$F$25,45),""),IF(COUNTA($L48:$P48)&gt;0,"manual-"&amp;TEXT($A48,"00"),"")))</f>
        <v/>
      </c>
      <c r="C48" s="5" t="str" cm="1">
        <f t="array" ref="C48">IF(操作台!$B$4="议程模板",_xlfn.LET(_xlpm.v,IFERROR(INDEX(_xlfn._xlws.FILTER(模板库!$F$2:$F$1000,(模板库!$B$2:$B$1000=操作台!$F$4)*(模板库!$E$2:$E$1000="item")),45),""),IF(OR(_xlpm.v="",_xlpm.v=0),"",_xlpm.v)),IF(操作台!$B$4="接龙导入",IFERROR(INDEX(计算区!$G$5:$G$25,45),""),IF(COUNTA($L48:$P48)&gt;0,1,"")))</f>
        <v/>
      </c>
      <c r="D48" s="5" t="str" cm="1">
        <f t="array" ref="D48">IF(操作台!$B$4="议程模板",_xlfn.LET(_xlpm.v,IFERROR(INDEX(_xlfn._xlws.FILTER(模板库!$G$2:$G$1000,(模板库!$B$2:$B$1000=操作台!$F$4)*(模板库!$E$2:$E$1000="item")),45),""),IF(OR(_xlpm.v="",_xlpm.v=0),"",_xlpm.v)),IF(操作台!$B$4="接龙导入",IFERROR(INDEX(计算区!$H$5:$H$25,45),""),IF(COUNTA($L48:$P48)&gt;0,"手工议程","")))</f>
        <v/>
      </c>
      <c r="E48" s="5" t="str" cm="1">
        <f t="array" ref="E48">IF(操作台!$B$4="议程模板",_xlfn.LET(_xlpm.v,IFERROR(INDEX(_xlfn._xlws.FILTER(模板库!$M$2:$M$1000,(模板库!$B$2:$B$1000=操作台!$F$4)*(模板库!$E$2:$E$1000="item")),45),""),IF(OR(_xlpm.v="",_xlpm.v=0),"",_xlpm.v)),IF(操作台!$B$4="接龙导入",IFERROR(INDEX(计算区!$N$5:$N$25,45),""),IF(COUNTA($L48:$P48)&gt;0,"plain","")))</f>
        <v/>
      </c>
      <c r="F48" s="27" t="str">
        <f>IF($B48="","",IF(COUNTIF($Q$4:$Q47,"*排程*")&gt;0,"",IF(COUNTIF($B$4:$B47,"&lt;&gt;")=0,IF(操作台!$B$4="接龙导入",IF(计算区!$E$7&lt;&gt;"",计算区!$E$7,操作台!$F$10),操作台!$F$10),MAX($R$4:$R47))))</f>
        <v/>
      </c>
      <c r="G48" s="5" t="str" cm="1">
        <f t="array" ref="G48">IF(操作台!$B$4="议程模板",_xlfn.LET(_xlpm.v,IFERROR(INDEX(_xlfn._xlws.FILTER(模板库!$H$2:$H$1000,(模板库!$B$2:$B$1000=操作台!$F$4)*(模板库!$E$2:$E$1000="item")),45),""),IF(OR(_xlpm.v="",_xlpm.v=0),"",_xlpm.v)),IF(操作台!$B$4="接龙导入",IFERROR(INDEX(计算区!$I$5:$I$25,45),""),""))</f>
        <v/>
      </c>
      <c r="H48" s="5" t="str" cm="1">
        <f t="array" ref="H48">IF(操作台!$B$4="议程模板",_xlfn.LET(_xlpm.v,IFERROR(INDEX(_xlfn._xlws.FILTER(模板库!$I$2:$I$1000,(模板库!$B$2:$B$1000=操作台!$F$4)*(模板库!$E$2:$E$1000="item")),45),""),IF(OR(_xlpm.v="",_xlpm.v=0),"",_xlpm.v)),IF(操作台!$B$4="接龙导入","",""))</f>
        <v/>
      </c>
      <c r="I48" s="5" t="str" cm="1">
        <f t="array" ref="I48">IF(操作台!$B$4="议程模板",_xlfn.LET(_xlpm.v,IFERROR(INDEX(_xlfn._xlws.FILTER(模板库!$J$2:$J$1000,(模板库!$B$2:$B$1000=操作台!$F$4)*(模板库!$E$2:$E$1000="item")),45),""),IF(OR(_xlpm.v="",_xlpm.v=0),"",_xlpm.v)),IF(操作台!$B$4="接龙导入",IFERROR(INDEX(计算区!$J$5:$J$25,45),""),""))</f>
        <v/>
      </c>
      <c r="J48" s="5" t="str" cm="1">
        <f t="array" ref="J48">IF(操作台!$B$4="议程模板",_xlfn.LET(_xlpm.v,IFERROR(INDEX(_xlfn._xlws.FILTER(模板库!$K$2:$K$1000,(模板库!$B$2:$B$1000=操作台!$F$4)*(模板库!$E$2:$E$1000="item")),45),""),IF(OR(_xlpm.v="",_xlpm.v=0),"",_xlpm.v)),IF(操作台!$B$4="接龙导入",IFERROR(INDEX(计算区!$K$5:$K$25,45),""),""))</f>
        <v/>
      </c>
      <c r="K48" s="5" t="str" cm="1">
        <f t="array" ref="K48">IF(操作台!$B$4="议程模板",_xlfn.LET(_xlpm.v,IFERROR(INDEX(_xlfn._xlws.FILTER(模板库!$L$2:$L$1000,(模板库!$B$2:$B$1000=操作台!$F$4)*(模板库!$E$2:$E$1000="item")),45),""),IF(OR(_xlpm.v="",_xlpm.v=0),"",_xlpm.v)),IF(操作台!$B$4="接龙导入",IFERROR(INDEX(计算区!$M$5:$M$25,45),""),""))</f>
        <v/>
      </c>
      <c r="L48" s="23"/>
      <c r="M48" s="24"/>
      <c r="N48" s="24"/>
      <c r="O48" s="24"/>
      <c r="P48" s="25"/>
      <c r="Q48" s="26" t="str">
        <f>IF($B48="","",_xlfn.LET(_xlpm.m,IF($O48&lt;&gt;"",$O48,$J48),_xlpm.p,IF($P48&lt;&gt;"",$P48,IF($K48="","待定",$K48)),_xlpm.title,IF($L48&lt;&gt;"",$L48,$G48),_xlfn.TEXTJOIN("；",TRUE,IF(_xlpm.title="","缺少标题",""),IF(_xlpm.m="","缺少排程分钟",IF(NOT(ISNUMBER(_xlpm.m)),"排程分钟无效","")),IF(_xlpm.p="待定","负责人待定",""),IF(AND($A48&gt;1,$F48=""),"前序排程中断",""))))</f>
        <v/>
      </c>
      <c r="R48" s="28" t="str">
        <f t="shared" si="2"/>
        <v/>
      </c>
      <c r="S48">
        <f t="shared" si="3"/>
        <v>0</v>
      </c>
    </row>
    <row r="49" spans="1:19" ht="27" customHeight="1">
      <c r="A49" s="5">
        <v>46</v>
      </c>
      <c r="B49" s="5" t="str" cm="1">
        <f t="array" ref="B49">IF(操作台!$B$4="议程模板",_xlfn.LET(_xlpm.v,IFERROR(INDEX(_xlfn._xlws.FILTER(模板库!$D$2:$D$1000,(模板库!$B$2:$B$1000=操作台!$F$4)*(模板库!$E$2:$E$1000="item")),46),""),IF(OR(_xlpm.v="",_xlpm.v=0),"",_xlpm.v)),IF(操作台!$B$4="接龙导入",IFERROR(INDEX(计算区!$F$5:$F$25,46),""),IF(COUNTA($L49:$P49)&gt;0,"manual-"&amp;TEXT($A49,"00"),"")))</f>
        <v/>
      </c>
      <c r="C49" s="5" t="str" cm="1">
        <f t="array" ref="C49">IF(操作台!$B$4="议程模板",_xlfn.LET(_xlpm.v,IFERROR(INDEX(_xlfn._xlws.FILTER(模板库!$F$2:$F$1000,(模板库!$B$2:$B$1000=操作台!$F$4)*(模板库!$E$2:$E$1000="item")),46),""),IF(OR(_xlpm.v="",_xlpm.v=0),"",_xlpm.v)),IF(操作台!$B$4="接龙导入",IFERROR(INDEX(计算区!$G$5:$G$25,46),""),IF(COUNTA($L49:$P49)&gt;0,1,"")))</f>
        <v/>
      </c>
      <c r="D49" s="5" t="str" cm="1">
        <f t="array" ref="D49">IF(操作台!$B$4="议程模板",_xlfn.LET(_xlpm.v,IFERROR(INDEX(_xlfn._xlws.FILTER(模板库!$G$2:$G$1000,(模板库!$B$2:$B$1000=操作台!$F$4)*(模板库!$E$2:$E$1000="item")),46),""),IF(OR(_xlpm.v="",_xlpm.v=0),"",_xlpm.v)),IF(操作台!$B$4="接龙导入",IFERROR(INDEX(计算区!$H$5:$H$25,46),""),IF(COUNTA($L49:$P49)&gt;0,"手工议程","")))</f>
        <v/>
      </c>
      <c r="E49" s="5" t="str" cm="1">
        <f t="array" ref="E49">IF(操作台!$B$4="议程模板",_xlfn.LET(_xlpm.v,IFERROR(INDEX(_xlfn._xlws.FILTER(模板库!$M$2:$M$1000,(模板库!$B$2:$B$1000=操作台!$F$4)*(模板库!$E$2:$E$1000="item")),46),""),IF(OR(_xlpm.v="",_xlpm.v=0),"",_xlpm.v)),IF(操作台!$B$4="接龙导入",IFERROR(INDEX(计算区!$N$5:$N$25,46),""),IF(COUNTA($L49:$P49)&gt;0,"plain","")))</f>
        <v/>
      </c>
      <c r="F49" s="27" t="str">
        <f>IF($B49="","",IF(COUNTIF($Q$4:$Q48,"*排程*")&gt;0,"",IF(COUNTIF($B$4:$B48,"&lt;&gt;")=0,IF(操作台!$B$4="接龙导入",IF(计算区!$E$7&lt;&gt;"",计算区!$E$7,操作台!$F$10),操作台!$F$10),MAX($R$4:$R48))))</f>
        <v/>
      </c>
      <c r="G49" s="5" t="str" cm="1">
        <f t="array" ref="G49">IF(操作台!$B$4="议程模板",_xlfn.LET(_xlpm.v,IFERROR(INDEX(_xlfn._xlws.FILTER(模板库!$H$2:$H$1000,(模板库!$B$2:$B$1000=操作台!$F$4)*(模板库!$E$2:$E$1000="item")),46),""),IF(OR(_xlpm.v="",_xlpm.v=0),"",_xlpm.v)),IF(操作台!$B$4="接龙导入",IFERROR(INDEX(计算区!$I$5:$I$25,46),""),""))</f>
        <v/>
      </c>
      <c r="H49" s="5" t="str" cm="1">
        <f t="array" ref="H49">IF(操作台!$B$4="议程模板",_xlfn.LET(_xlpm.v,IFERROR(INDEX(_xlfn._xlws.FILTER(模板库!$I$2:$I$1000,(模板库!$B$2:$B$1000=操作台!$F$4)*(模板库!$E$2:$E$1000="item")),46),""),IF(OR(_xlpm.v="",_xlpm.v=0),"",_xlpm.v)),IF(操作台!$B$4="接龙导入","",""))</f>
        <v/>
      </c>
      <c r="I49" s="5" t="str" cm="1">
        <f t="array" ref="I49">IF(操作台!$B$4="议程模板",_xlfn.LET(_xlpm.v,IFERROR(INDEX(_xlfn._xlws.FILTER(模板库!$J$2:$J$1000,(模板库!$B$2:$B$1000=操作台!$F$4)*(模板库!$E$2:$E$1000="item")),46),""),IF(OR(_xlpm.v="",_xlpm.v=0),"",_xlpm.v)),IF(操作台!$B$4="接龙导入",IFERROR(INDEX(计算区!$J$5:$J$25,46),""),""))</f>
        <v/>
      </c>
      <c r="J49" s="5" t="str" cm="1">
        <f t="array" ref="J49">IF(操作台!$B$4="议程模板",_xlfn.LET(_xlpm.v,IFERROR(INDEX(_xlfn._xlws.FILTER(模板库!$K$2:$K$1000,(模板库!$B$2:$B$1000=操作台!$F$4)*(模板库!$E$2:$E$1000="item")),46),""),IF(OR(_xlpm.v="",_xlpm.v=0),"",_xlpm.v)),IF(操作台!$B$4="接龙导入",IFERROR(INDEX(计算区!$K$5:$K$25,46),""),""))</f>
        <v/>
      </c>
      <c r="K49" s="5" t="str" cm="1">
        <f t="array" ref="K49">IF(操作台!$B$4="议程模板",_xlfn.LET(_xlpm.v,IFERROR(INDEX(_xlfn._xlws.FILTER(模板库!$L$2:$L$1000,(模板库!$B$2:$B$1000=操作台!$F$4)*(模板库!$E$2:$E$1000="item")),46),""),IF(OR(_xlpm.v="",_xlpm.v=0),"",_xlpm.v)),IF(操作台!$B$4="接龙导入",IFERROR(INDEX(计算区!$M$5:$M$25,46),""),""))</f>
        <v/>
      </c>
      <c r="L49" s="23"/>
      <c r="M49" s="24"/>
      <c r="N49" s="24"/>
      <c r="O49" s="24"/>
      <c r="P49" s="25"/>
      <c r="Q49" s="26" t="str">
        <f>IF($B49="","",_xlfn.LET(_xlpm.m,IF($O49&lt;&gt;"",$O49,$J49),_xlpm.p,IF($P49&lt;&gt;"",$P49,IF($K49="","待定",$K49)),_xlpm.title,IF($L49&lt;&gt;"",$L49,$G49),_xlfn.TEXTJOIN("；",TRUE,IF(_xlpm.title="","缺少标题",""),IF(_xlpm.m="","缺少排程分钟",IF(NOT(ISNUMBER(_xlpm.m)),"排程分钟无效","")),IF(_xlpm.p="待定","负责人待定",""),IF(AND($A49&gt;1,$F49=""),"前序排程中断",""))))</f>
        <v/>
      </c>
      <c r="R49" s="28" t="str">
        <f t="shared" si="2"/>
        <v/>
      </c>
      <c r="S49">
        <f t="shared" si="3"/>
        <v>0</v>
      </c>
    </row>
    <row r="50" spans="1:19" ht="27" customHeight="1">
      <c r="A50" s="5">
        <v>47</v>
      </c>
      <c r="B50" s="5" t="str" cm="1">
        <f t="array" ref="B50">IF(操作台!$B$4="议程模板",_xlfn.LET(_xlpm.v,IFERROR(INDEX(_xlfn._xlws.FILTER(模板库!$D$2:$D$1000,(模板库!$B$2:$B$1000=操作台!$F$4)*(模板库!$E$2:$E$1000="item")),47),""),IF(OR(_xlpm.v="",_xlpm.v=0),"",_xlpm.v)),IF(操作台!$B$4="接龙导入",IFERROR(INDEX(计算区!$F$5:$F$25,47),""),IF(COUNTA($L50:$P50)&gt;0,"manual-"&amp;TEXT($A50,"00"),"")))</f>
        <v/>
      </c>
      <c r="C50" s="5" t="str" cm="1">
        <f t="array" ref="C50">IF(操作台!$B$4="议程模板",_xlfn.LET(_xlpm.v,IFERROR(INDEX(_xlfn._xlws.FILTER(模板库!$F$2:$F$1000,(模板库!$B$2:$B$1000=操作台!$F$4)*(模板库!$E$2:$E$1000="item")),47),""),IF(OR(_xlpm.v="",_xlpm.v=0),"",_xlpm.v)),IF(操作台!$B$4="接龙导入",IFERROR(INDEX(计算区!$G$5:$G$25,47),""),IF(COUNTA($L50:$P50)&gt;0,1,"")))</f>
        <v/>
      </c>
      <c r="D50" s="5" t="str" cm="1">
        <f t="array" ref="D50">IF(操作台!$B$4="议程模板",_xlfn.LET(_xlpm.v,IFERROR(INDEX(_xlfn._xlws.FILTER(模板库!$G$2:$G$1000,(模板库!$B$2:$B$1000=操作台!$F$4)*(模板库!$E$2:$E$1000="item")),47),""),IF(OR(_xlpm.v="",_xlpm.v=0),"",_xlpm.v)),IF(操作台!$B$4="接龙导入",IFERROR(INDEX(计算区!$H$5:$H$25,47),""),IF(COUNTA($L50:$P50)&gt;0,"手工议程","")))</f>
        <v/>
      </c>
      <c r="E50" s="5" t="str" cm="1">
        <f t="array" ref="E50">IF(操作台!$B$4="议程模板",_xlfn.LET(_xlpm.v,IFERROR(INDEX(_xlfn._xlws.FILTER(模板库!$M$2:$M$1000,(模板库!$B$2:$B$1000=操作台!$F$4)*(模板库!$E$2:$E$1000="item")),47),""),IF(OR(_xlpm.v="",_xlpm.v=0),"",_xlpm.v)),IF(操作台!$B$4="接龙导入",IFERROR(INDEX(计算区!$N$5:$N$25,47),""),IF(COUNTA($L50:$P50)&gt;0,"plain","")))</f>
        <v/>
      </c>
      <c r="F50" s="27" t="str">
        <f>IF($B50="","",IF(COUNTIF($Q$4:$Q49,"*排程*")&gt;0,"",IF(COUNTIF($B$4:$B49,"&lt;&gt;")=0,IF(操作台!$B$4="接龙导入",IF(计算区!$E$7&lt;&gt;"",计算区!$E$7,操作台!$F$10),操作台!$F$10),MAX($R$4:$R49))))</f>
        <v/>
      </c>
      <c r="G50" s="5" t="str" cm="1">
        <f t="array" ref="G50">IF(操作台!$B$4="议程模板",_xlfn.LET(_xlpm.v,IFERROR(INDEX(_xlfn._xlws.FILTER(模板库!$H$2:$H$1000,(模板库!$B$2:$B$1000=操作台!$F$4)*(模板库!$E$2:$E$1000="item")),47),""),IF(OR(_xlpm.v="",_xlpm.v=0),"",_xlpm.v)),IF(操作台!$B$4="接龙导入",IFERROR(INDEX(计算区!$I$5:$I$25,47),""),""))</f>
        <v/>
      </c>
      <c r="H50" s="5" t="str" cm="1">
        <f t="array" ref="H50">IF(操作台!$B$4="议程模板",_xlfn.LET(_xlpm.v,IFERROR(INDEX(_xlfn._xlws.FILTER(模板库!$I$2:$I$1000,(模板库!$B$2:$B$1000=操作台!$F$4)*(模板库!$E$2:$E$1000="item")),47),""),IF(OR(_xlpm.v="",_xlpm.v=0),"",_xlpm.v)),IF(操作台!$B$4="接龙导入","",""))</f>
        <v/>
      </c>
      <c r="I50" s="5" t="str" cm="1">
        <f t="array" ref="I50">IF(操作台!$B$4="议程模板",_xlfn.LET(_xlpm.v,IFERROR(INDEX(_xlfn._xlws.FILTER(模板库!$J$2:$J$1000,(模板库!$B$2:$B$1000=操作台!$F$4)*(模板库!$E$2:$E$1000="item")),47),""),IF(OR(_xlpm.v="",_xlpm.v=0),"",_xlpm.v)),IF(操作台!$B$4="接龙导入",IFERROR(INDEX(计算区!$J$5:$J$25,47),""),""))</f>
        <v/>
      </c>
      <c r="J50" s="5" t="str" cm="1">
        <f t="array" ref="J50">IF(操作台!$B$4="议程模板",_xlfn.LET(_xlpm.v,IFERROR(INDEX(_xlfn._xlws.FILTER(模板库!$K$2:$K$1000,(模板库!$B$2:$B$1000=操作台!$F$4)*(模板库!$E$2:$E$1000="item")),47),""),IF(OR(_xlpm.v="",_xlpm.v=0),"",_xlpm.v)),IF(操作台!$B$4="接龙导入",IFERROR(INDEX(计算区!$K$5:$K$25,47),""),""))</f>
        <v/>
      </c>
      <c r="K50" s="5" t="str" cm="1">
        <f t="array" ref="K50">IF(操作台!$B$4="议程模板",_xlfn.LET(_xlpm.v,IFERROR(INDEX(_xlfn._xlws.FILTER(模板库!$L$2:$L$1000,(模板库!$B$2:$B$1000=操作台!$F$4)*(模板库!$E$2:$E$1000="item")),47),""),IF(OR(_xlpm.v="",_xlpm.v=0),"",_xlpm.v)),IF(操作台!$B$4="接龙导入",IFERROR(INDEX(计算区!$M$5:$M$25,47),""),""))</f>
        <v/>
      </c>
      <c r="L50" s="23"/>
      <c r="M50" s="24"/>
      <c r="N50" s="24"/>
      <c r="O50" s="24"/>
      <c r="P50" s="25"/>
      <c r="Q50" s="26" t="str">
        <f>IF($B50="","",_xlfn.LET(_xlpm.m,IF($O50&lt;&gt;"",$O50,$J50),_xlpm.p,IF($P50&lt;&gt;"",$P50,IF($K50="","待定",$K50)),_xlpm.title,IF($L50&lt;&gt;"",$L50,$G50),_xlfn.TEXTJOIN("；",TRUE,IF(_xlpm.title="","缺少标题",""),IF(_xlpm.m="","缺少排程分钟",IF(NOT(ISNUMBER(_xlpm.m)),"排程分钟无效","")),IF(_xlpm.p="待定","负责人待定",""),IF(AND($A50&gt;1,$F50=""),"前序排程中断",""))))</f>
        <v/>
      </c>
      <c r="R50" s="28" t="str">
        <f t="shared" si="2"/>
        <v/>
      </c>
      <c r="S50">
        <f t="shared" si="3"/>
        <v>0</v>
      </c>
    </row>
    <row r="51" spans="1:19" ht="27" customHeight="1">
      <c r="A51" s="5">
        <v>48</v>
      </c>
      <c r="B51" s="5" t="str" cm="1">
        <f t="array" ref="B51">IF(操作台!$B$4="议程模板",_xlfn.LET(_xlpm.v,IFERROR(INDEX(_xlfn._xlws.FILTER(模板库!$D$2:$D$1000,(模板库!$B$2:$B$1000=操作台!$F$4)*(模板库!$E$2:$E$1000="item")),48),""),IF(OR(_xlpm.v="",_xlpm.v=0),"",_xlpm.v)),IF(操作台!$B$4="接龙导入",IFERROR(INDEX(计算区!$F$5:$F$25,48),""),IF(COUNTA($L51:$P51)&gt;0,"manual-"&amp;TEXT($A51,"00"),"")))</f>
        <v/>
      </c>
      <c r="C51" s="5" t="str" cm="1">
        <f t="array" ref="C51">IF(操作台!$B$4="议程模板",_xlfn.LET(_xlpm.v,IFERROR(INDEX(_xlfn._xlws.FILTER(模板库!$F$2:$F$1000,(模板库!$B$2:$B$1000=操作台!$F$4)*(模板库!$E$2:$E$1000="item")),48),""),IF(OR(_xlpm.v="",_xlpm.v=0),"",_xlpm.v)),IF(操作台!$B$4="接龙导入",IFERROR(INDEX(计算区!$G$5:$G$25,48),""),IF(COUNTA($L51:$P51)&gt;0,1,"")))</f>
        <v/>
      </c>
      <c r="D51" s="5" t="str" cm="1">
        <f t="array" ref="D51">IF(操作台!$B$4="议程模板",_xlfn.LET(_xlpm.v,IFERROR(INDEX(_xlfn._xlws.FILTER(模板库!$G$2:$G$1000,(模板库!$B$2:$B$1000=操作台!$F$4)*(模板库!$E$2:$E$1000="item")),48),""),IF(OR(_xlpm.v="",_xlpm.v=0),"",_xlpm.v)),IF(操作台!$B$4="接龙导入",IFERROR(INDEX(计算区!$H$5:$H$25,48),""),IF(COUNTA($L51:$P51)&gt;0,"手工议程","")))</f>
        <v/>
      </c>
      <c r="E51" s="5" t="str" cm="1">
        <f t="array" ref="E51">IF(操作台!$B$4="议程模板",_xlfn.LET(_xlpm.v,IFERROR(INDEX(_xlfn._xlws.FILTER(模板库!$M$2:$M$1000,(模板库!$B$2:$B$1000=操作台!$F$4)*(模板库!$E$2:$E$1000="item")),48),""),IF(OR(_xlpm.v="",_xlpm.v=0),"",_xlpm.v)),IF(操作台!$B$4="接龙导入",IFERROR(INDEX(计算区!$N$5:$N$25,48),""),IF(COUNTA($L51:$P51)&gt;0,"plain","")))</f>
        <v/>
      </c>
      <c r="F51" s="27" t="str">
        <f>IF($B51="","",IF(COUNTIF($Q$4:$Q50,"*排程*")&gt;0,"",IF(COUNTIF($B$4:$B50,"&lt;&gt;")=0,IF(操作台!$B$4="接龙导入",IF(计算区!$E$7&lt;&gt;"",计算区!$E$7,操作台!$F$10),操作台!$F$10),MAX($R$4:$R50))))</f>
        <v/>
      </c>
      <c r="G51" s="5" t="str" cm="1">
        <f t="array" ref="G51">IF(操作台!$B$4="议程模板",_xlfn.LET(_xlpm.v,IFERROR(INDEX(_xlfn._xlws.FILTER(模板库!$H$2:$H$1000,(模板库!$B$2:$B$1000=操作台!$F$4)*(模板库!$E$2:$E$1000="item")),48),""),IF(OR(_xlpm.v="",_xlpm.v=0),"",_xlpm.v)),IF(操作台!$B$4="接龙导入",IFERROR(INDEX(计算区!$I$5:$I$25,48),""),""))</f>
        <v/>
      </c>
      <c r="H51" s="5" t="str" cm="1">
        <f t="array" ref="H51">IF(操作台!$B$4="议程模板",_xlfn.LET(_xlpm.v,IFERROR(INDEX(_xlfn._xlws.FILTER(模板库!$I$2:$I$1000,(模板库!$B$2:$B$1000=操作台!$F$4)*(模板库!$E$2:$E$1000="item")),48),""),IF(OR(_xlpm.v="",_xlpm.v=0),"",_xlpm.v)),IF(操作台!$B$4="接龙导入","",""))</f>
        <v/>
      </c>
      <c r="I51" s="5" t="str" cm="1">
        <f t="array" ref="I51">IF(操作台!$B$4="议程模板",_xlfn.LET(_xlpm.v,IFERROR(INDEX(_xlfn._xlws.FILTER(模板库!$J$2:$J$1000,(模板库!$B$2:$B$1000=操作台!$F$4)*(模板库!$E$2:$E$1000="item")),48),""),IF(OR(_xlpm.v="",_xlpm.v=0),"",_xlpm.v)),IF(操作台!$B$4="接龙导入",IFERROR(INDEX(计算区!$J$5:$J$25,48),""),""))</f>
        <v/>
      </c>
      <c r="J51" s="5" t="str" cm="1">
        <f t="array" ref="J51">IF(操作台!$B$4="议程模板",_xlfn.LET(_xlpm.v,IFERROR(INDEX(_xlfn._xlws.FILTER(模板库!$K$2:$K$1000,(模板库!$B$2:$B$1000=操作台!$F$4)*(模板库!$E$2:$E$1000="item")),48),""),IF(OR(_xlpm.v="",_xlpm.v=0),"",_xlpm.v)),IF(操作台!$B$4="接龙导入",IFERROR(INDEX(计算区!$K$5:$K$25,48),""),""))</f>
        <v/>
      </c>
      <c r="K51" s="5" t="str" cm="1">
        <f t="array" ref="K51">IF(操作台!$B$4="议程模板",_xlfn.LET(_xlpm.v,IFERROR(INDEX(_xlfn._xlws.FILTER(模板库!$L$2:$L$1000,(模板库!$B$2:$B$1000=操作台!$F$4)*(模板库!$E$2:$E$1000="item")),48),""),IF(OR(_xlpm.v="",_xlpm.v=0),"",_xlpm.v)),IF(操作台!$B$4="接龙导入",IFERROR(INDEX(计算区!$M$5:$M$25,48),""),""))</f>
        <v/>
      </c>
      <c r="L51" s="23"/>
      <c r="M51" s="24"/>
      <c r="N51" s="24"/>
      <c r="O51" s="24"/>
      <c r="P51" s="25"/>
      <c r="Q51" s="26" t="str">
        <f>IF($B51="","",_xlfn.LET(_xlpm.m,IF($O51&lt;&gt;"",$O51,$J51),_xlpm.p,IF($P51&lt;&gt;"",$P51,IF($K51="","待定",$K51)),_xlpm.title,IF($L51&lt;&gt;"",$L51,$G51),_xlfn.TEXTJOIN("；",TRUE,IF(_xlpm.title="","缺少标题",""),IF(_xlpm.m="","缺少排程分钟",IF(NOT(ISNUMBER(_xlpm.m)),"排程分钟无效","")),IF(_xlpm.p="待定","负责人待定",""),IF(AND($A51&gt;1,$F51=""),"前序排程中断",""))))</f>
        <v/>
      </c>
      <c r="R51" s="28" t="str">
        <f t="shared" si="2"/>
        <v/>
      </c>
      <c r="S51">
        <f t="shared" si="3"/>
        <v>0</v>
      </c>
    </row>
    <row r="52" spans="1:19" ht="27" customHeight="1">
      <c r="A52" s="5">
        <v>49</v>
      </c>
      <c r="B52" s="5" t="str" cm="1">
        <f t="array" ref="B52">IF(操作台!$B$4="议程模板",_xlfn.LET(_xlpm.v,IFERROR(INDEX(_xlfn._xlws.FILTER(模板库!$D$2:$D$1000,(模板库!$B$2:$B$1000=操作台!$F$4)*(模板库!$E$2:$E$1000="item")),49),""),IF(OR(_xlpm.v="",_xlpm.v=0),"",_xlpm.v)),IF(操作台!$B$4="接龙导入",IFERROR(INDEX(计算区!$F$5:$F$25,49),""),IF(COUNTA($L52:$P52)&gt;0,"manual-"&amp;TEXT($A52,"00"),"")))</f>
        <v/>
      </c>
      <c r="C52" s="5" t="str" cm="1">
        <f t="array" ref="C52">IF(操作台!$B$4="议程模板",_xlfn.LET(_xlpm.v,IFERROR(INDEX(_xlfn._xlws.FILTER(模板库!$F$2:$F$1000,(模板库!$B$2:$B$1000=操作台!$F$4)*(模板库!$E$2:$E$1000="item")),49),""),IF(OR(_xlpm.v="",_xlpm.v=0),"",_xlpm.v)),IF(操作台!$B$4="接龙导入",IFERROR(INDEX(计算区!$G$5:$G$25,49),""),IF(COUNTA($L52:$P52)&gt;0,1,"")))</f>
        <v/>
      </c>
      <c r="D52" s="5" t="str" cm="1">
        <f t="array" ref="D52">IF(操作台!$B$4="议程模板",_xlfn.LET(_xlpm.v,IFERROR(INDEX(_xlfn._xlws.FILTER(模板库!$G$2:$G$1000,(模板库!$B$2:$B$1000=操作台!$F$4)*(模板库!$E$2:$E$1000="item")),49),""),IF(OR(_xlpm.v="",_xlpm.v=0),"",_xlpm.v)),IF(操作台!$B$4="接龙导入",IFERROR(INDEX(计算区!$H$5:$H$25,49),""),IF(COUNTA($L52:$P52)&gt;0,"手工议程","")))</f>
        <v/>
      </c>
      <c r="E52" s="5" t="str" cm="1">
        <f t="array" ref="E52">IF(操作台!$B$4="议程模板",_xlfn.LET(_xlpm.v,IFERROR(INDEX(_xlfn._xlws.FILTER(模板库!$M$2:$M$1000,(模板库!$B$2:$B$1000=操作台!$F$4)*(模板库!$E$2:$E$1000="item")),49),""),IF(OR(_xlpm.v="",_xlpm.v=0),"",_xlpm.v)),IF(操作台!$B$4="接龙导入",IFERROR(INDEX(计算区!$N$5:$N$25,49),""),IF(COUNTA($L52:$P52)&gt;0,"plain","")))</f>
        <v/>
      </c>
      <c r="F52" s="27" t="str">
        <f>IF($B52="","",IF(COUNTIF($Q$4:$Q51,"*排程*")&gt;0,"",IF(COUNTIF($B$4:$B51,"&lt;&gt;")=0,IF(操作台!$B$4="接龙导入",IF(计算区!$E$7&lt;&gt;"",计算区!$E$7,操作台!$F$10),操作台!$F$10),MAX($R$4:$R51))))</f>
        <v/>
      </c>
      <c r="G52" s="5" t="str" cm="1">
        <f t="array" ref="G52">IF(操作台!$B$4="议程模板",_xlfn.LET(_xlpm.v,IFERROR(INDEX(_xlfn._xlws.FILTER(模板库!$H$2:$H$1000,(模板库!$B$2:$B$1000=操作台!$F$4)*(模板库!$E$2:$E$1000="item")),49),""),IF(OR(_xlpm.v="",_xlpm.v=0),"",_xlpm.v)),IF(操作台!$B$4="接龙导入",IFERROR(INDEX(计算区!$I$5:$I$25,49),""),""))</f>
        <v/>
      </c>
      <c r="H52" s="5" t="str" cm="1">
        <f t="array" ref="H52">IF(操作台!$B$4="议程模板",_xlfn.LET(_xlpm.v,IFERROR(INDEX(_xlfn._xlws.FILTER(模板库!$I$2:$I$1000,(模板库!$B$2:$B$1000=操作台!$F$4)*(模板库!$E$2:$E$1000="item")),49),""),IF(OR(_xlpm.v="",_xlpm.v=0),"",_xlpm.v)),IF(操作台!$B$4="接龙导入","",""))</f>
        <v/>
      </c>
      <c r="I52" s="5" t="str" cm="1">
        <f t="array" ref="I52">IF(操作台!$B$4="议程模板",_xlfn.LET(_xlpm.v,IFERROR(INDEX(_xlfn._xlws.FILTER(模板库!$J$2:$J$1000,(模板库!$B$2:$B$1000=操作台!$F$4)*(模板库!$E$2:$E$1000="item")),49),""),IF(OR(_xlpm.v="",_xlpm.v=0),"",_xlpm.v)),IF(操作台!$B$4="接龙导入",IFERROR(INDEX(计算区!$J$5:$J$25,49),""),""))</f>
        <v/>
      </c>
      <c r="J52" s="5" t="str" cm="1">
        <f t="array" ref="J52">IF(操作台!$B$4="议程模板",_xlfn.LET(_xlpm.v,IFERROR(INDEX(_xlfn._xlws.FILTER(模板库!$K$2:$K$1000,(模板库!$B$2:$B$1000=操作台!$F$4)*(模板库!$E$2:$E$1000="item")),49),""),IF(OR(_xlpm.v="",_xlpm.v=0),"",_xlpm.v)),IF(操作台!$B$4="接龙导入",IFERROR(INDEX(计算区!$K$5:$K$25,49),""),""))</f>
        <v/>
      </c>
      <c r="K52" s="5" t="str" cm="1">
        <f t="array" ref="K52">IF(操作台!$B$4="议程模板",_xlfn.LET(_xlpm.v,IFERROR(INDEX(_xlfn._xlws.FILTER(模板库!$L$2:$L$1000,(模板库!$B$2:$B$1000=操作台!$F$4)*(模板库!$E$2:$E$1000="item")),49),""),IF(OR(_xlpm.v="",_xlpm.v=0),"",_xlpm.v)),IF(操作台!$B$4="接龙导入",IFERROR(INDEX(计算区!$M$5:$M$25,49),""),""))</f>
        <v/>
      </c>
      <c r="L52" s="23"/>
      <c r="M52" s="24"/>
      <c r="N52" s="24"/>
      <c r="O52" s="24"/>
      <c r="P52" s="25"/>
      <c r="Q52" s="26" t="str">
        <f>IF($B52="","",_xlfn.LET(_xlpm.m,IF($O52&lt;&gt;"",$O52,$J52),_xlpm.p,IF($P52&lt;&gt;"",$P52,IF($K52="","待定",$K52)),_xlpm.title,IF($L52&lt;&gt;"",$L52,$G52),_xlfn.TEXTJOIN("；",TRUE,IF(_xlpm.title="","缺少标题",""),IF(_xlpm.m="","缺少排程分钟",IF(NOT(ISNUMBER(_xlpm.m)),"排程分钟无效","")),IF(_xlpm.p="待定","负责人待定",""),IF(AND($A52&gt;1,$F52=""),"前序排程中断",""))))</f>
        <v/>
      </c>
      <c r="R52" s="28" t="str">
        <f t="shared" si="2"/>
        <v/>
      </c>
      <c r="S52">
        <f t="shared" si="3"/>
        <v>0</v>
      </c>
    </row>
    <row r="53" spans="1:19" ht="27" customHeight="1">
      <c r="A53" s="5">
        <v>50</v>
      </c>
      <c r="B53" s="5" t="str" cm="1">
        <f t="array" ref="B53">IF(操作台!$B$4="议程模板",_xlfn.LET(_xlpm.v,IFERROR(INDEX(_xlfn._xlws.FILTER(模板库!$D$2:$D$1000,(模板库!$B$2:$B$1000=操作台!$F$4)*(模板库!$E$2:$E$1000="item")),50),""),IF(OR(_xlpm.v="",_xlpm.v=0),"",_xlpm.v)),IF(操作台!$B$4="接龙导入",IFERROR(INDEX(计算区!$F$5:$F$25,50),""),IF(COUNTA($L53:$P53)&gt;0,"manual-"&amp;TEXT($A53,"00"),"")))</f>
        <v/>
      </c>
      <c r="C53" s="5" t="str" cm="1">
        <f t="array" ref="C53">IF(操作台!$B$4="议程模板",_xlfn.LET(_xlpm.v,IFERROR(INDEX(_xlfn._xlws.FILTER(模板库!$F$2:$F$1000,(模板库!$B$2:$B$1000=操作台!$F$4)*(模板库!$E$2:$E$1000="item")),50),""),IF(OR(_xlpm.v="",_xlpm.v=0),"",_xlpm.v)),IF(操作台!$B$4="接龙导入",IFERROR(INDEX(计算区!$G$5:$G$25,50),""),IF(COUNTA($L53:$P53)&gt;0,1,"")))</f>
        <v/>
      </c>
      <c r="D53" s="5" t="str" cm="1">
        <f t="array" ref="D53">IF(操作台!$B$4="议程模板",_xlfn.LET(_xlpm.v,IFERROR(INDEX(_xlfn._xlws.FILTER(模板库!$G$2:$G$1000,(模板库!$B$2:$B$1000=操作台!$F$4)*(模板库!$E$2:$E$1000="item")),50),""),IF(OR(_xlpm.v="",_xlpm.v=0),"",_xlpm.v)),IF(操作台!$B$4="接龙导入",IFERROR(INDEX(计算区!$H$5:$H$25,50),""),IF(COUNTA($L53:$P53)&gt;0,"手工议程","")))</f>
        <v/>
      </c>
      <c r="E53" s="5" t="str" cm="1">
        <f t="array" ref="E53">IF(操作台!$B$4="议程模板",_xlfn.LET(_xlpm.v,IFERROR(INDEX(_xlfn._xlws.FILTER(模板库!$M$2:$M$1000,(模板库!$B$2:$B$1000=操作台!$F$4)*(模板库!$E$2:$E$1000="item")),50),""),IF(OR(_xlpm.v="",_xlpm.v=0),"",_xlpm.v)),IF(操作台!$B$4="接龙导入",IFERROR(INDEX(计算区!$N$5:$N$25,50),""),IF(COUNTA($L53:$P53)&gt;0,"plain","")))</f>
        <v/>
      </c>
      <c r="F53" s="27" t="str">
        <f>IF($B53="","",IF(COUNTIF($Q$4:$Q52,"*排程*")&gt;0,"",IF(COUNTIF($B$4:$B52,"&lt;&gt;")=0,IF(操作台!$B$4="接龙导入",IF(计算区!$E$7&lt;&gt;"",计算区!$E$7,操作台!$F$10),操作台!$F$10),MAX($R$4:$R52))))</f>
        <v/>
      </c>
      <c r="G53" s="5" t="str" cm="1">
        <f t="array" ref="G53">IF(操作台!$B$4="议程模板",_xlfn.LET(_xlpm.v,IFERROR(INDEX(_xlfn._xlws.FILTER(模板库!$H$2:$H$1000,(模板库!$B$2:$B$1000=操作台!$F$4)*(模板库!$E$2:$E$1000="item")),50),""),IF(OR(_xlpm.v="",_xlpm.v=0),"",_xlpm.v)),IF(操作台!$B$4="接龙导入",IFERROR(INDEX(计算区!$I$5:$I$25,50),""),""))</f>
        <v/>
      </c>
      <c r="H53" s="5" t="str" cm="1">
        <f t="array" ref="H53">IF(操作台!$B$4="议程模板",_xlfn.LET(_xlpm.v,IFERROR(INDEX(_xlfn._xlws.FILTER(模板库!$I$2:$I$1000,(模板库!$B$2:$B$1000=操作台!$F$4)*(模板库!$E$2:$E$1000="item")),50),""),IF(OR(_xlpm.v="",_xlpm.v=0),"",_xlpm.v)),IF(操作台!$B$4="接龙导入","",""))</f>
        <v/>
      </c>
      <c r="I53" s="5" t="str" cm="1">
        <f t="array" ref="I53">IF(操作台!$B$4="议程模板",_xlfn.LET(_xlpm.v,IFERROR(INDEX(_xlfn._xlws.FILTER(模板库!$J$2:$J$1000,(模板库!$B$2:$B$1000=操作台!$F$4)*(模板库!$E$2:$E$1000="item")),50),""),IF(OR(_xlpm.v="",_xlpm.v=0),"",_xlpm.v)),IF(操作台!$B$4="接龙导入",IFERROR(INDEX(计算区!$J$5:$J$25,50),""),""))</f>
        <v/>
      </c>
      <c r="J53" s="5" t="str" cm="1">
        <f t="array" ref="J53">IF(操作台!$B$4="议程模板",_xlfn.LET(_xlpm.v,IFERROR(INDEX(_xlfn._xlws.FILTER(模板库!$K$2:$K$1000,(模板库!$B$2:$B$1000=操作台!$F$4)*(模板库!$E$2:$E$1000="item")),50),""),IF(OR(_xlpm.v="",_xlpm.v=0),"",_xlpm.v)),IF(操作台!$B$4="接龙导入",IFERROR(INDEX(计算区!$K$5:$K$25,50),""),""))</f>
        <v/>
      </c>
      <c r="K53" s="5" t="str" cm="1">
        <f t="array" ref="K53">IF(操作台!$B$4="议程模板",_xlfn.LET(_xlpm.v,IFERROR(INDEX(_xlfn._xlws.FILTER(模板库!$L$2:$L$1000,(模板库!$B$2:$B$1000=操作台!$F$4)*(模板库!$E$2:$E$1000="item")),50),""),IF(OR(_xlpm.v="",_xlpm.v=0),"",_xlpm.v)),IF(操作台!$B$4="接龙导入",IFERROR(INDEX(计算区!$M$5:$M$25,50),""),""))</f>
        <v/>
      </c>
      <c r="L53" s="23"/>
      <c r="M53" s="24"/>
      <c r="N53" s="24"/>
      <c r="O53" s="24"/>
      <c r="P53" s="25"/>
      <c r="Q53" s="26" t="str">
        <f>IF($B53="","",_xlfn.LET(_xlpm.m,IF($O53&lt;&gt;"",$O53,$J53),_xlpm.p,IF($P53&lt;&gt;"",$P53,IF($K53="","待定",$K53)),_xlpm.title,IF($L53&lt;&gt;"",$L53,$G53),_xlfn.TEXTJOIN("；",TRUE,IF(_xlpm.title="","缺少标题",""),IF(_xlpm.m="","缺少排程分钟",IF(NOT(ISNUMBER(_xlpm.m)),"排程分钟无效","")),IF(_xlpm.p="待定","负责人待定",""),IF(AND($A53&gt;1,$F53=""),"前序排程中断",""))))</f>
        <v/>
      </c>
      <c r="R53" s="28" t="str">
        <f t="shared" si="2"/>
        <v/>
      </c>
      <c r="S53">
        <f t="shared" si="3"/>
        <v>0</v>
      </c>
    </row>
    <row r="54" spans="1:19" ht="27" customHeight="1">
      <c r="A54" s="5">
        <v>51</v>
      </c>
      <c r="B54" s="5" t="str" cm="1">
        <f t="array" ref="B54">IF(操作台!$B$4="议程模板",_xlfn.LET(_xlpm.v,IFERROR(INDEX(_xlfn._xlws.FILTER(模板库!$D$2:$D$1000,(模板库!$B$2:$B$1000=操作台!$F$4)*(模板库!$E$2:$E$1000="item")),51),""),IF(OR(_xlpm.v="",_xlpm.v=0),"",_xlpm.v)),IF(操作台!$B$4="接龙导入",IFERROR(INDEX(计算区!$F$5:$F$25,51),""),IF(COUNTA($L54:$P54)&gt;0,"manual-"&amp;TEXT($A54,"00"),"")))</f>
        <v/>
      </c>
      <c r="C54" s="5" t="str" cm="1">
        <f t="array" ref="C54">IF(操作台!$B$4="议程模板",_xlfn.LET(_xlpm.v,IFERROR(INDEX(_xlfn._xlws.FILTER(模板库!$F$2:$F$1000,(模板库!$B$2:$B$1000=操作台!$F$4)*(模板库!$E$2:$E$1000="item")),51),""),IF(OR(_xlpm.v="",_xlpm.v=0),"",_xlpm.v)),IF(操作台!$B$4="接龙导入",IFERROR(INDEX(计算区!$G$5:$G$25,51),""),IF(COUNTA($L54:$P54)&gt;0,1,"")))</f>
        <v/>
      </c>
      <c r="D54" s="5" t="str" cm="1">
        <f t="array" ref="D54">IF(操作台!$B$4="议程模板",_xlfn.LET(_xlpm.v,IFERROR(INDEX(_xlfn._xlws.FILTER(模板库!$G$2:$G$1000,(模板库!$B$2:$B$1000=操作台!$F$4)*(模板库!$E$2:$E$1000="item")),51),""),IF(OR(_xlpm.v="",_xlpm.v=0),"",_xlpm.v)),IF(操作台!$B$4="接龙导入",IFERROR(INDEX(计算区!$H$5:$H$25,51),""),IF(COUNTA($L54:$P54)&gt;0,"手工议程","")))</f>
        <v/>
      </c>
      <c r="E54" s="5" t="str" cm="1">
        <f t="array" ref="E54">IF(操作台!$B$4="议程模板",_xlfn.LET(_xlpm.v,IFERROR(INDEX(_xlfn._xlws.FILTER(模板库!$M$2:$M$1000,(模板库!$B$2:$B$1000=操作台!$F$4)*(模板库!$E$2:$E$1000="item")),51),""),IF(OR(_xlpm.v="",_xlpm.v=0),"",_xlpm.v)),IF(操作台!$B$4="接龙导入",IFERROR(INDEX(计算区!$N$5:$N$25,51),""),IF(COUNTA($L54:$P54)&gt;0,"plain","")))</f>
        <v/>
      </c>
      <c r="F54" s="27" t="str">
        <f>IF($B54="","",IF(COUNTIF($Q$4:$Q53,"*排程*")&gt;0,"",IF(COUNTIF($B$4:$B53,"&lt;&gt;")=0,IF(操作台!$B$4="接龙导入",IF(计算区!$E$7&lt;&gt;"",计算区!$E$7,操作台!$F$10),操作台!$F$10),MAX($R$4:$R53))))</f>
        <v/>
      </c>
      <c r="G54" s="5" t="str" cm="1">
        <f t="array" ref="G54">IF(操作台!$B$4="议程模板",_xlfn.LET(_xlpm.v,IFERROR(INDEX(_xlfn._xlws.FILTER(模板库!$H$2:$H$1000,(模板库!$B$2:$B$1000=操作台!$F$4)*(模板库!$E$2:$E$1000="item")),51),""),IF(OR(_xlpm.v="",_xlpm.v=0),"",_xlpm.v)),IF(操作台!$B$4="接龙导入",IFERROR(INDEX(计算区!$I$5:$I$25,51),""),""))</f>
        <v/>
      </c>
      <c r="H54" s="5" t="str" cm="1">
        <f t="array" ref="H54">IF(操作台!$B$4="议程模板",_xlfn.LET(_xlpm.v,IFERROR(INDEX(_xlfn._xlws.FILTER(模板库!$I$2:$I$1000,(模板库!$B$2:$B$1000=操作台!$F$4)*(模板库!$E$2:$E$1000="item")),51),""),IF(OR(_xlpm.v="",_xlpm.v=0),"",_xlpm.v)),IF(操作台!$B$4="接龙导入","",""))</f>
        <v/>
      </c>
      <c r="I54" s="5" t="str" cm="1">
        <f t="array" ref="I54">IF(操作台!$B$4="议程模板",_xlfn.LET(_xlpm.v,IFERROR(INDEX(_xlfn._xlws.FILTER(模板库!$J$2:$J$1000,(模板库!$B$2:$B$1000=操作台!$F$4)*(模板库!$E$2:$E$1000="item")),51),""),IF(OR(_xlpm.v="",_xlpm.v=0),"",_xlpm.v)),IF(操作台!$B$4="接龙导入",IFERROR(INDEX(计算区!$J$5:$J$25,51),""),""))</f>
        <v/>
      </c>
      <c r="J54" s="5" t="str" cm="1">
        <f t="array" ref="J54">IF(操作台!$B$4="议程模板",_xlfn.LET(_xlpm.v,IFERROR(INDEX(_xlfn._xlws.FILTER(模板库!$K$2:$K$1000,(模板库!$B$2:$B$1000=操作台!$F$4)*(模板库!$E$2:$E$1000="item")),51),""),IF(OR(_xlpm.v="",_xlpm.v=0),"",_xlpm.v)),IF(操作台!$B$4="接龙导入",IFERROR(INDEX(计算区!$K$5:$K$25,51),""),""))</f>
        <v/>
      </c>
      <c r="K54" s="5" t="str" cm="1">
        <f t="array" ref="K54">IF(操作台!$B$4="议程模板",_xlfn.LET(_xlpm.v,IFERROR(INDEX(_xlfn._xlws.FILTER(模板库!$L$2:$L$1000,(模板库!$B$2:$B$1000=操作台!$F$4)*(模板库!$E$2:$E$1000="item")),51),""),IF(OR(_xlpm.v="",_xlpm.v=0),"",_xlpm.v)),IF(操作台!$B$4="接龙导入",IFERROR(INDEX(计算区!$M$5:$M$25,51),""),""))</f>
        <v/>
      </c>
      <c r="L54" s="23"/>
      <c r="M54" s="24"/>
      <c r="N54" s="24"/>
      <c r="O54" s="24"/>
      <c r="P54" s="25"/>
      <c r="Q54" s="26" t="str">
        <f>IF($B54="","",_xlfn.LET(_xlpm.m,IF($O54&lt;&gt;"",$O54,$J54),_xlpm.p,IF($P54&lt;&gt;"",$P54,IF($K54="","待定",$K54)),_xlpm.title,IF($L54&lt;&gt;"",$L54,$G54),_xlfn.TEXTJOIN("；",TRUE,IF(_xlpm.title="","缺少标题",""),IF(_xlpm.m="","缺少排程分钟",IF(NOT(ISNUMBER(_xlpm.m)),"排程分钟无效","")),IF(_xlpm.p="待定","负责人待定",""),IF(AND($A54&gt;1,$F54=""),"前序排程中断",""))))</f>
        <v/>
      </c>
      <c r="R54" s="28" t="str">
        <f t="shared" si="2"/>
        <v/>
      </c>
      <c r="S54">
        <f t="shared" si="3"/>
        <v>0</v>
      </c>
    </row>
    <row r="55" spans="1:19" ht="27" customHeight="1">
      <c r="A55" s="5">
        <v>52</v>
      </c>
      <c r="B55" s="5" t="str" cm="1">
        <f t="array" ref="B55">IF(操作台!$B$4="议程模板",_xlfn.LET(_xlpm.v,IFERROR(INDEX(_xlfn._xlws.FILTER(模板库!$D$2:$D$1000,(模板库!$B$2:$B$1000=操作台!$F$4)*(模板库!$E$2:$E$1000="item")),52),""),IF(OR(_xlpm.v="",_xlpm.v=0),"",_xlpm.v)),IF(操作台!$B$4="接龙导入",IFERROR(INDEX(计算区!$F$5:$F$25,52),""),IF(COUNTA($L55:$P55)&gt;0,"manual-"&amp;TEXT($A55,"00"),"")))</f>
        <v/>
      </c>
      <c r="C55" s="5" t="str" cm="1">
        <f t="array" ref="C55">IF(操作台!$B$4="议程模板",_xlfn.LET(_xlpm.v,IFERROR(INDEX(_xlfn._xlws.FILTER(模板库!$F$2:$F$1000,(模板库!$B$2:$B$1000=操作台!$F$4)*(模板库!$E$2:$E$1000="item")),52),""),IF(OR(_xlpm.v="",_xlpm.v=0),"",_xlpm.v)),IF(操作台!$B$4="接龙导入",IFERROR(INDEX(计算区!$G$5:$G$25,52),""),IF(COUNTA($L55:$P55)&gt;0,1,"")))</f>
        <v/>
      </c>
      <c r="D55" s="5" t="str" cm="1">
        <f t="array" ref="D55">IF(操作台!$B$4="议程模板",_xlfn.LET(_xlpm.v,IFERROR(INDEX(_xlfn._xlws.FILTER(模板库!$G$2:$G$1000,(模板库!$B$2:$B$1000=操作台!$F$4)*(模板库!$E$2:$E$1000="item")),52),""),IF(OR(_xlpm.v="",_xlpm.v=0),"",_xlpm.v)),IF(操作台!$B$4="接龙导入",IFERROR(INDEX(计算区!$H$5:$H$25,52),""),IF(COUNTA($L55:$P55)&gt;0,"手工议程","")))</f>
        <v/>
      </c>
      <c r="E55" s="5" t="str" cm="1">
        <f t="array" ref="E55">IF(操作台!$B$4="议程模板",_xlfn.LET(_xlpm.v,IFERROR(INDEX(_xlfn._xlws.FILTER(模板库!$M$2:$M$1000,(模板库!$B$2:$B$1000=操作台!$F$4)*(模板库!$E$2:$E$1000="item")),52),""),IF(OR(_xlpm.v="",_xlpm.v=0),"",_xlpm.v)),IF(操作台!$B$4="接龙导入",IFERROR(INDEX(计算区!$N$5:$N$25,52),""),IF(COUNTA($L55:$P55)&gt;0,"plain","")))</f>
        <v/>
      </c>
      <c r="F55" s="27" t="str">
        <f>IF($B55="","",IF(COUNTIF($Q$4:$Q54,"*排程*")&gt;0,"",IF(COUNTIF($B$4:$B54,"&lt;&gt;")=0,IF(操作台!$B$4="接龙导入",IF(计算区!$E$7&lt;&gt;"",计算区!$E$7,操作台!$F$10),操作台!$F$10),MAX($R$4:$R54))))</f>
        <v/>
      </c>
      <c r="G55" s="5" t="str" cm="1">
        <f t="array" ref="G55">IF(操作台!$B$4="议程模板",_xlfn.LET(_xlpm.v,IFERROR(INDEX(_xlfn._xlws.FILTER(模板库!$H$2:$H$1000,(模板库!$B$2:$B$1000=操作台!$F$4)*(模板库!$E$2:$E$1000="item")),52),""),IF(OR(_xlpm.v="",_xlpm.v=0),"",_xlpm.v)),IF(操作台!$B$4="接龙导入",IFERROR(INDEX(计算区!$I$5:$I$25,52),""),""))</f>
        <v/>
      </c>
      <c r="H55" s="5" t="str" cm="1">
        <f t="array" ref="H55">IF(操作台!$B$4="议程模板",_xlfn.LET(_xlpm.v,IFERROR(INDEX(_xlfn._xlws.FILTER(模板库!$I$2:$I$1000,(模板库!$B$2:$B$1000=操作台!$F$4)*(模板库!$E$2:$E$1000="item")),52),""),IF(OR(_xlpm.v="",_xlpm.v=0),"",_xlpm.v)),IF(操作台!$B$4="接龙导入","",""))</f>
        <v/>
      </c>
      <c r="I55" s="5" t="str" cm="1">
        <f t="array" ref="I55">IF(操作台!$B$4="议程模板",_xlfn.LET(_xlpm.v,IFERROR(INDEX(_xlfn._xlws.FILTER(模板库!$J$2:$J$1000,(模板库!$B$2:$B$1000=操作台!$F$4)*(模板库!$E$2:$E$1000="item")),52),""),IF(OR(_xlpm.v="",_xlpm.v=0),"",_xlpm.v)),IF(操作台!$B$4="接龙导入",IFERROR(INDEX(计算区!$J$5:$J$25,52),""),""))</f>
        <v/>
      </c>
      <c r="J55" s="5" t="str" cm="1">
        <f t="array" ref="J55">IF(操作台!$B$4="议程模板",_xlfn.LET(_xlpm.v,IFERROR(INDEX(_xlfn._xlws.FILTER(模板库!$K$2:$K$1000,(模板库!$B$2:$B$1000=操作台!$F$4)*(模板库!$E$2:$E$1000="item")),52),""),IF(OR(_xlpm.v="",_xlpm.v=0),"",_xlpm.v)),IF(操作台!$B$4="接龙导入",IFERROR(INDEX(计算区!$K$5:$K$25,52),""),""))</f>
        <v/>
      </c>
      <c r="K55" s="5" t="str" cm="1">
        <f t="array" ref="K55">IF(操作台!$B$4="议程模板",_xlfn.LET(_xlpm.v,IFERROR(INDEX(_xlfn._xlws.FILTER(模板库!$L$2:$L$1000,(模板库!$B$2:$B$1000=操作台!$F$4)*(模板库!$E$2:$E$1000="item")),52),""),IF(OR(_xlpm.v="",_xlpm.v=0),"",_xlpm.v)),IF(操作台!$B$4="接龙导入",IFERROR(INDEX(计算区!$M$5:$M$25,52),""),""))</f>
        <v/>
      </c>
      <c r="L55" s="23"/>
      <c r="M55" s="24"/>
      <c r="N55" s="24"/>
      <c r="O55" s="24"/>
      <c r="P55" s="25"/>
      <c r="Q55" s="26" t="str">
        <f>IF($B55="","",_xlfn.LET(_xlpm.m,IF($O55&lt;&gt;"",$O55,$J55),_xlpm.p,IF($P55&lt;&gt;"",$P55,IF($K55="","待定",$K55)),_xlpm.title,IF($L55&lt;&gt;"",$L55,$G55),_xlfn.TEXTJOIN("；",TRUE,IF(_xlpm.title="","缺少标题",""),IF(_xlpm.m="","缺少排程分钟",IF(NOT(ISNUMBER(_xlpm.m)),"排程分钟无效","")),IF(_xlpm.p="待定","负责人待定",""),IF(AND($A55&gt;1,$F55=""),"前序排程中断",""))))</f>
        <v/>
      </c>
      <c r="R55" s="28" t="str">
        <f t="shared" si="2"/>
        <v/>
      </c>
      <c r="S55">
        <f t="shared" si="3"/>
        <v>0</v>
      </c>
    </row>
    <row r="56" spans="1:19" ht="27" customHeight="1">
      <c r="A56" s="5">
        <v>53</v>
      </c>
      <c r="B56" s="5" t="str" cm="1">
        <f t="array" ref="B56">IF(操作台!$B$4="议程模板",_xlfn.LET(_xlpm.v,IFERROR(INDEX(_xlfn._xlws.FILTER(模板库!$D$2:$D$1000,(模板库!$B$2:$B$1000=操作台!$F$4)*(模板库!$E$2:$E$1000="item")),53),""),IF(OR(_xlpm.v="",_xlpm.v=0),"",_xlpm.v)),IF(操作台!$B$4="接龙导入",IFERROR(INDEX(计算区!$F$5:$F$25,53),""),IF(COUNTA($L56:$P56)&gt;0,"manual-"&amp;TEXT($A56,"00"),"")))</f>
        <v/>
      </c>
      <c r="C56" s="5" t="str" cm="1">
        <f t="array" ref="C56">IF(操作台!$B$4="议程模板",_xlfn.LET(_xlpm.v,IFERROR(INDEX(_xlfn._xlws.FILTER(模板库!$F$2:$F$1000,(模板库!$B$2:$B$1000=操作台!$F$4)*(模板库!$E$2:$E$1000="item")),53),""),IF(OR(_xlpm.v="",_xlpm.v=0),"",_xlpm.v)),IF(操作台!$B$4="接龙导入",IFERROR(INDEX(计算区!$G$5:$G$25,53),""),IF(COUNTA($L56:$P56)&gt;0,1,"")))</f>
        <v/>
      </c>
      <c r="D56" s="5" t="str" cm="1">
        <f t="array" ref="D56">IF(操作台!$B$4="议程模板",_xlfn.LET(_xlpm.v,IFERROR(INDEX(_xlfn._xlws.FILTER(模板库!$G$2:$G$1000,(模板库!$B$2:$B$1000=操作台!$F$4)*(模板库!$E$2:$E$1000="item")),53),""),IF(OR(_xlpm.v="",_xlpm.v=0),"",_xlpm.v)),IF(操作台!$B$4="接龙导入",IFERROR(INDEX(计算区!$H$5:$H$25,53),""),IF(COUNTA($L56:$P56)&gt;0,"手工议程","")))</f>
        <v/>
      </c>
      <c r="E56" s="5" t="str" cm="1">
        <f t="array" ref="E56">IF(操作台!$B$4="议程模板",_xlfn.LET(_xlpm.v,IFERROR(INDEX(_xlfn._xlws.FILTER(模板库!$M$2:$M$1000,(模板库!$B$2:$B$1000=操作台!$F$4)*(模板库!$E$2:$E$1000="item")),53),""),IF(OR(_xlpm.v="",_xlpm.v=0),"",_xlpm.v)),IF(操作台!$B$4="接龙导入",IFERROR(INDEX(计算区!$N$5:$N$25,53),""),IF(COUNTA($L56:$P56)&gt;0,"plain","")))</f>
        <v/>
      </c>
      <c r="F56" s="27" t="str">
        <f>IF($B56="","",IF(COUNTIF($Q$4:$Q55,"*排程*")&gt;0,"",IF(COUNTIF($B$4:$B55,"&lt;&gt;")=0,IF(操作台!$B$4="接龙导入",IF(计算区!$E$7&lt;&gt;"",计算区!$E$7,操作台!$F$10),操作台!$F$10),MAX($R$4:$R55))))</f>
        <v/>
      </c>
      <c r="G56" s="5" t="str" cm="1">
        <f t="array" ref="G56">IF(操作台!$B$4="议程模板",_xlfn.LET(_xlpm.v,IFERROR(INDEX(_xlfn._xlws.FILTER(模板库!$H$2:$H$1000,(模板库!$B$2:$B$1000=操作台!$F$4)*(模板库!$E$2:$E$1000="item")),53),""),IF(OR(_xlpm.v="",_xlpm.v=0),"",_xlpm.v)),IF(操作台!$B$4="接龙导入",IFERROR(INDEX(计算区!$I$5:$I$25,53),""),""))</f>
        <v/>
      </c>
      <c r="H56" s="5" t="str" cm="1">
        <f t="array" ref="H56">IF(操作台!$B$4="议程模板",_xlfn.LET(_xlpm.v,IFERROR(INDEX(_xlfn._xlws.FILTER(模板库!$I$2:$I$1000,(模板库!$B$2:$B$1000=操作台!$F$4)*(模板库!$E$2:$E$1000="item")),53),""),IF(OR(_xlpm.v="",_xlpm.v=0),"",_xlpm.v)),IF(操作台!$B$4="接龙导入","",""))</f>
        <v/>
      </c>
      <c r="I56" s="5" t="str" cm="1">
        <f t="array" ref="I56">IF(操作台!$B$4="议程模板",_xlfn.LET(_xlpm.v,IFERROR(INDEX(_xlfn._xlws.FILTER(模板库!$J$2:$J$1000,(模板库!$B$2:$B$1000=操作台!$F$4)*(模板库!$E$2:$E$1000="item")),53),""),IF(OR(_xlpm.v="",_xlpm.v=0),"",_xlpm.v)),IF(操作台!$B$4="接龙导入",IFERROR(INDEX(计算区!$J$5:$J$25,53),""),""))</f>
        <v/>
      </c>
      <c r="J56" s="5" t="str" cm="1">
        <f t="array" ref="J56">IF(操作台!$B$4="议程模板",_xlfn.LET(_xlpm.v,IFERROR(INDEX(_xlfn._xlws.FILTER(模板库!$K$2:$K$1000,(模板库!$B$2:$B$1000=操作台!$F$4)*(模板库!$E$2:$E$1000="item")),53),""),IF(OR(_xlpm.v="",_xlpm.v=0),"",_xlpm.v)),IF(操作台!$B$4="接龙导入",IFERROR(INDEX(计算区!$K$5:$K$25,53),""),""))</f>
        <v/>
      </c>
      <c r="K56" s="5" t="str" cm="1">
        <f t="array" ref="K56">IF(操作台!$B$4="议程模板",_xlfn.LET(_xlpm.v,IFERROR(INDEX(_xlfn._xlws.FILTER(模板库!$L$2:$L$1000,(模板库!$B$2:$B$1000=操作台!$F$4)*(模板库!$E$2:$E$1000="item")),53),""),IF(OR(_xlpm.v="",_xlpm.v=0),"",_xlpm.v)),IF(操作台!$B$4="接龙导入",IFERROR(INDEX(计算区!$M$5:$M$25,53),""),""))</f>
        <v/>
      </c>
      <c r="L56" s="23"/>
      <c r="M56" s="24"/>
      <c r="N56" s="24"/>
      <c r="O56" s="24"/>
      <c r="P56" s="25"/>
      <c r="Q56" s="26" t="str">
        <f>IF($B56="","",_xlfn.LET(_xlpm.m,IF($O56&lt;&gt;"",$O56,$J56),_xlpm.p,IF($P56&lt;&gt;"",$P56,IF($K56="","待定",$K56)),_xlpm.title,IF($L56&lt;&gt;"",$L56,$G56),_xlfn.TEXTJOIN("；",TRUE,IF(_xlpm.title="","缺少标题",""),IF(_xlpm.m="","缺少排程分钟",IF(NOT(ISNUMBER(_xlpm.m)),"排程分钟无效","")),IF(_xlpm.p="待定","负责人待定",""),IF(AND($A56&gt;1,$F56=""),"前序排程中断",""))))</f>
        <v/>
      </c>
      <c r="R56" s="28" t="str">
        <f t="shared" si="2"/>
        <v/>
      </c>
      <c r="S56">
        <f t="shared" si="3"/>
        <v>0</v>
      </c>
    </row>
    <row r="57" spans="1:19" ht="27" customHeight="1">
      <c r="A57" s="5">
        <v>54</v>
      </c>
      <c r="B57" s="5" t="str" cm="1">
        <f t="array" ref="B57">IF(操作台!$B$4="议程模板",_xlfn.LET(_xlpm.v,IFERROR(INDEX(_xlfn._xlws.FILTER(模板库!$D$2:$D$1000,(模板库!$B$2:$B$1000=操作台!$F$4)*(模板库!$E$2:$E$1000="item")),54),""),IF(OR(_xlpm.v="",_xlpm.v=0),"",_xlpm.v)),IF(操作台!$B$4="接龙导入",IFERROR(INDEX(计算区!$F$5:$F$25,54),""),IF(COUNTA($L57:$P57)&gt;0,"manual-"&amp;TEXT($A57,"00"),"")))</f>
        <v/>
      </c>
      <c r="C57" s="5" t="str" cm="1">
        <f t="array" ref="C57">IF(操作台!$B$4="议程模板",_xlfn.LET(_xlpm.v,IFERROR(INDEX(_xlfn._xlws.FILTER(模板库!$F$2:$F$1000,(模板库!$B$2:$B$1000=操作台!$F$4)*(模板库!$E$2:$E$1000="item")),54),""),IF(OR(_xlpm.v="",_xlpm.v=0),"",_xlpm.v)),IF(操作台!$B$4="接龙导入",IFERROR(INDEX(计算区!$G$5:$G$25,54),""),IF(COUNTA($L57:$P57)&gt;0,1,"")))</f>
        <v/>
      </c>
      <c r="D57" s="5" t="str" cm="1">
        <f t="array" ref="D57">IF(操作台!$B$4="议程模板",_xlfn.LET(_xlpm.v,IFERROR(INDEX(_xlfn._xlws.FILTER(模板库!$G$2:$G$1000,(模板库!$B$2:$B$1000=操作台!$F$4)*(模板库!$E$2:$E$1000="item")),54),""),IF(OR(_xlpm.v="",_xlpm.v=0),"",_xlpm.v)),IF(操作台!$B$4="接龙导入",IFERROR(INDEX(计算区!$H$5:$H$25,54),""),IF(COUNTA($L57:$P57)&gt;0,"手工议程","")))</f>
        <v/>
      </c>
      <c r="E57" s="5" t="str" cm="1">
        <f t="array" ref="E57">IF(操作台!$B$4="议程模板",_xlfn.LET(_xlpm.v,IFERROR(INDEX(_xlfn._xlws.FILTER(模板库!$M$2:$M$1000,(模板库!$B$2:$B$1000=操作台!$F$4)*(模板库!$E$2:$E$1000="item")),54),""),IF(OR(_xlpm.v="",_xlpm.v=0),"",_xlpm.v)),IF(操作台!$B$4="接龙导入",IFERROR(INDEX(计算区!$N$5:$N$25,54),""),IF(COUNTA($L57:$P57)&gt;0,"plain","")))</f>
        <v/>
      </c>
      <c r="F57" s="27" t="str">
        <f>IF($B57="","",IF(COUNTIF($Q$4:$Q56,"*排程*")&gt;0,"",IF(COUNTIF($B$4:$B56,"&lt;&gt;")=0,IF(操作台!$B$4="接龙导入",IF(计算区!$E$7&lt;&gt;"",计算区!$E$7,操作台!$F$10),操作台!$F$10),MAX($R$4:$R56))))</f>
        <v/>
      </c>
      <c r="G57" s="5" t="str" cm="1">
        <f t="array" ref="G57">IF(操作台!$B$4="议程模板",_xlfn.LET(_xlpm.v,IFERROR(INDEX(_xlfn._xlws.FILTER(模板库!$H$2:$H$1000,(模板库!$B$2:$B$1000=操作台!$F$4)*(模板库!$E$2:$E$1000="item")),54),""),IF(OR(_xlpm.v="",_xlpm.v=0),"",_xlpm.v)),IF(操作台!$B$4="接龙导入",IFERROR(INDEX(计算区!$I$5:$I$25,54),""),""))</f>
        <v/>
      </c>
      <c r="H57" s="5" t="str" cm="1">
        <f t="array" ref="H57">IF(操作台!$B$4="议程模板",_xlfn.LET(_xlpm.v,IFERROR(INDEX(_xlfn._xlws.FILTER(模板库!$I$2:$I$1000,(模板库!$B$2:$B$1000=操作台!$F$4)*(模板库!$E$2:$E$1000="item")),54),""),IF(OR(_xlpm.v="",_xlpm.v=0),"",_xlpm.v)),IF(操作台!$B$4="接龙导入","",""))</f>
        <v/>
      </c>
      <c r="I57" s="5" t="str" cm="1">
        <f t="array" ref="I57">IF(操作台!$B$4="议程模板",_xlfn.LET(_xlpm.v,IFERROR(INDEX(_xlfn._xlws.FILTER(模板库!$J$2:$J$1000,(模板库!$B$2:$B$1000=操作台!$F$4)*(模板库!$E$2:$E$1000="item")),54),""),IF(OR(_xlpm.v="",_xlpm.v=0),"",_xlpm.v)),IF(操作台!$B$4="接龙导入",IFERROR(INDEX(计算区!$J$5:$J$25,54),""),""))</f>
        <v/>
      </c>
      <c r="J57" s="5" t="str" cm="1">
        <f t="array" ref="J57">IF(操作台!$B$4="议程模板",_xlfn.LET(_xlpm.v,IFERROR(INDEX(_xlfn._xlws.FILTER(模板库!$K$2:$K$1000,(模板库!$B$2:$B$1000=操作台!$F$4)*(模板库!$E$2:$E$1000="item")),54),""),IF(OR(_xlpm.v="",_xlpm.v=0),"",_xlpm.v)),IF(操作台!$B$4="接龙导入",IFERROR(INDEX(计算区!$K$5:$K$25,54),""),""))</f>
        <v/>
      </c>
      <c r="K57" s="5" t="str" cm="1">
        <f t="array" ref="K57">IF(操作台!$B$4="议程模板",_xlfn.LET(_xlpm.v,IFERROR(INDEX(_xlfn._xlws.FILTER(模板库!$L$2:$L$1000,(模板库!$B$2:$B$1000=操作台!$F$4)*(模板库!$E$2:$E$1000="item")),54),""),IF(OR(_xlpm.v="",_xlpm.v=0),"",_xlpm.v)),IF(操作台!$B$4="接龙导入",IFERROR(INDEX(计算区!$M$5:$M$25,54),""),""))</f>
        <v/>
      </c>
      <c r="L57" s="23"/>
      <c r="M57" s="24"/>
      <c r="N57" s="24"/>
      <c r="O57" s="24"/>
      <c r="P57" s="25"/>
      <c r="Q57" s="26" t="str">
        <f>IF($B57="","",_xlfn.LET(_xlpm.m,IF($O57&lt;&gt;"",$O57,$J57),_xlpm.p,IF($P57&lt;&gt;"",$P57,IF($K57="","待定",$K57)),_xlpm.title,IF($L57&lt;&gt;"",$L57,$G57),_xlfn.TEXTJOIN("；",TRUE,IF(_xlpm.title="","缺少标题",""),IF(_xlpm.m="","缺少排程分钟",IF(NOT(ISNUMBER(_xlpm.m)),"排程分钟无效","")),IF(_xlpm.p="待定","负责人待定",""),IF(AND($A57&gt;1,$F57=""),"前序排程中断",""))))</f>
        <v/>
      </c>
      <c r="R57" s="28" t="str">
        <f t="shared" si="2"/>
        <v/>
      </c>
      <c r="S57">
        <f t="shared" si="3"/>
        <v>0</v>
      </c>
    </row>
    <row r="58" spans="1:19" ht="27" customHeight="1">
      <c r="A58" s="5">
        <v>55</v>
      </c>
      <c r="B58" s="5" t="str" cm="1">
        <f t="array" ref="B58">IF(操作台!$B$4="议程模板",_xlfn.LET(_xlpm.v,IFERROR(INDEX(_xlfn._xlws.FILTER(模板库!$D$2:$D$1000,(模板库!$B$2:$B$1000=操作台!$F$4)*(模板库!$E$2:$E$1000="item")),55),""),IF(OR(_xlpm.v="",_xlpm.v=0),"",_xlpm.v)),IF(操作台!$B$4="接龙导入",IFERROR(INDEX(计算区!$F$5:$F$25,55),""),IF(COUNTA($L58:$P58)&gt;0,"manual-"&amp;TEXT($A58,"00"),"")))</f>
        <v/>
      </c>
      <c r="C58" s="5" t="str" cm="1">
        <f t="array" ref="C58">IF(操作台!$B$4="议程模板",_xlfn.LET(_xlpm.v,IFERROR(INDEX(_xlfn._xlws.FILTER(模板库!$F$2:$F$1000,(模板库!$B$2:$B$1000=操作台!$F$4)*(模板库!$E$2:$E$1000="item")),55),""),IF(OR(_xlpm.v="",_xlpm.v=0),"",_xlpm.v)),IF(操作台!$B$4="接龙导入",IFERROR(INDEX(计算区!$G$5:$G$25,55),""),IF(COUNTA($L58:$P58)&gt;0,1,"")))</f>
        <v/>
      </c>
      <c r="D58" s="5" t="str" cm="1">
        <f t="array" ref="D58">IF(操作台!$B$4="议程模板",_xlfn.LET(_xlpm.v,IFERROR(INDEX(_xlfn._xlws.FILTER(模板库!$G$2:$G$1000,(模板库!$B$2:$B$1000=操作台!$F$4)*(模板库!$E$2:$E$1000="item")),55),""),IF(OR(_xlpm.v="",_xlpm.v=0),"",_xlpm.v)),IF(操作台!$B$4="接龙导入",IFERROR(INDEX(计算区!$H$5:$H$25,55),""),IF(COUNTA($L58:$P58)&gt;0,"手工议程","")))</f>
        <v/>
      </c>
      <c r="E58" s="5" t="str" cm="1">
        <f t="array" ref="E58">IF(操作台!$B$4="议程模板",_xlfn.LET(_xlpm.v,IFERROR(INDEX(_xlfn._xlws.FILTER(模板库!$M$2:$M$1000,(模板库!$B$2:$B$1000=操作台!$F$4)*(模板库!$E$2:$E$1000="item")),55),""),IF(OR(_xlpm.v="",_xlpm.v=0),"",_xlpm.v)),IF(操作台!$B$4="接龙导入",IFERROR(INDEX(计算区!$N$5:$N$25,55),""),IF(COUNTA($L58:$P58)&gt;0,"plain","")))</f>
        <v/>
      </c>
      <c r="F58" s="27" t="str">
        <f>IF($B58="","",IF(COUNTIF($Q$4:$Q57,"*排程*")&gt;0,"",IF(COUNTIF($B$4:$B57,"&lt;&gt;")=0,IF(操作台!$B$4="接龙导入",IF(计算区!$E$7&lt;&gt;"",计算区!$E$7,操作台!$F$10),操作台!$F$10),MAX($R$4:$R57))))</f>
        <v/>
      </c>
      <c r="G58" s="5" t="str" cm="1">
        <f t="array" ref="G58">IF(操作台!$B$4="议程模板",_xlfn.LET(_xlpm.v,IFERROR(INDEX(_xlfn._xlws.FILTER(模板库!$H$2:$H$1000,(模板库!$B$2:$B$1000=操作台!$F$4)*(模板库!$E$2:$E$1000="item")),55),""),IF(OR(_xlpm.v="",_xlpm.v=0),"",_xlpm.v)),IF(操作台!$B$4="接龙导入",IFERROR(INDEX(计算区!$I$5:$I$25,55),""),""))</f>
        <v/>
      </c>
      <c r="H58" s="5" t="str" cm="1">
        <f t="array" ref="H58">IF(操作台!$B$4="议程模板",_xlfn.LET(_xlpm.v,IFERROR(INDEX(_xlfn._xlws.FILTER(模板库!$I$2:$I$1000,(模板库!$B$2:$B$1000=操作台!$F$4)*(模板库!$E$2:$E$1000="item")),55),""),IF(OR(_xlpm.v="",_xlpm.v=0),"",_xlpm.v)),IF(操作台!$B$4="接龙导入","",""))</f>
        <v/>
      </c>
      <c r="I58" s="5" t="str" cm="1">
        <f t="array" ref="I58">IF(操作台!$B$4="议程模板",_xlfn.LET(_xlpm.v,IFERROR(INDEX(_xlfn._xlws.FILTER(模板库!$J$2:$J$1000,(模板库!$B$2:$B$1000=操作台!$F$4)*(模板库!$E$2:$E$1000="item")),55),""),IF(OR(_xlpm.v="",_xlpm.v=0),"",_xlpm.v)),IF(操作台!$B$4="接龙导入",IFERROR(INDEX(计算区!$J$5:$J$25,55),""),""))</f>
        <v/>
      </c>
      <c r="J58" s="5" t="str" cm="1">
        <f t="array" ref="J58">IF(操作台!$B$4="议程模板",_xlfn.LET(_xlpm.v,IFERROR(INDEX(_xlfn._xlws.FILTER(模板库!$K$2:$K$1000,(模板库!$B$2:$B$1000=操作台!$F$4)*(模板库!$E$2:$E$1000="item")),55),""),IF(OR(_xlpm.v="",_xlpm.v=0),"",_xlpm.v)),IF(操作台!$B$4="接龙导入",IFERROR(INDEX(计算区!$K$5:$K$25,55),""),""))</f>
        <v/>
      </c>
      <c r="K58" s="5" t="str" cm="1">
        <f t="array" ref="K58">IF(操作台!$B$4="议程模板",_xlfn.LET(_xlpm.v,IFERROR(INDEX(_xlfn._xlws.FILTER(模板库!$L$2:$L$1000,(模板库!$B$2:$B$1000=操作台!$F$4)*(模板库!$E$2:$E$1000="item")),55),""),IF(OR(_xlpm.v="",_xlpm.v=0),"",_xlpm.v)),IF(操作台!$B$4="接龙导入",IFERROR(INDEX(计算区!$M$5:$M$25,55),""),""))</f>
        <v/>
      </c>
      <c r="L58" s="23"/>
      <c r="M58" s="24"/>
      <c r="N58" s="24"/>
      <c r="O58" s="24"/>
      <c r="P58" s="25"/>
      <c r="Q58" s="26" t="str">
        <f>IF($B58="","",_xlfn.LET(_xlpm.m,IF($O58&lt;&gt;"",$O58,$J58),_xlpm.p,IF($P58&lt;&gt;"",$P58,IF($K58="","待定",$K58)),_xlpm.title,IF($L58&lt;&gt;"",$L58,$G58),_xlfn.TEXTJOIN("；",TRUE,IF(_xlpm.title="","缺少标题",""),IF(_xlpm.m="","缺少排程分钟",IF(NOT(ISNUMBER(_xlpm.m)),"排程分钟无效","")),IF(_xlpm.p="待定","负责人待定",""),IF(AND($A58&gt;1,$F58=""),"前序排程中断",""))))</f>
        <v/>
      </c>
      <c r="R58" s="28" t="str">
        <f t="shared" si="2"/>
        <v/>
      </c>
      <c r="S58">
        <f t="shared" si="3"/>
        <v>0</v>
      </c>
    </row>
    <row r="59" spans="1:19" ht="27" customHeight="1">
      <c r="A59" s="5">
        <v>56</v>
      </c>
      <c r="B59" s="5" t="str" cm="1">
        <f t="array" ref="B59">IF(操作台!$B$4="议程模板",_xlfn.LET(_xlpm.v,IFERROR(INDEX(_xlfn._xlws.FILTER(模板库!$D$2:$D$1000,(模板库!$B$2:$B$1000=操作台!$F$4)*(模板库!$E$2:$E$1000="item")),56),""),IF(OR(_xlpm.v="",_xlpm.v=0),"",_xlpm.v)),IF(操作台!$B$4="接龙导入",IFERROR(INDEX(计算区!$F$5:$F$25,56),""),IF(COUNTA($L59:$P59)&gt;0,"manual-"&amp;TEXT($A59,"00"),"")))</f>
        <v/>
      </c>
      <c r="C59" s="5" t="str" cm="1">
        <f t="array" ref="C59">IF(操作台!$B$4="议程模板",_xlfn.LET(_xlpm.v,IFERROR(INDEX(_xlfn._xlws.FILTER(模板库!$F$2:$F$1000,(模板库!$B$2:$B$1000=操作台!$F$4)*(模板库!$E$2:$E$1000="item")),56),""),IF(OR(_xlpm.v="",_xlpm.v=0),"",_xlpm.v)),IF(操作台!$B$4="接龙导入",IFERROR(INDEX(计算区!$G$5:$G$25,56),""),IF(COUNTA($L59:$P59)&gt;0,1,"")))</f>
        <v/>
      </c>
      <c r="D59" s="5" t="str" cm="1">
        <f t="array" ref="D59">IF(操作台!$B$4="议程模板",_xlfn.LET(_xlpm.v,IFERROR(INDEX(_xlfn._xlws.FILTER(模板库!$G$2:$G$1000,(模板库!$B$2:$B$1000=操作台!$F$4)*(模板库!$E$2:$E$1000="item")),56),""),IF(OR(_xlpm.v="",_xlpm.v=0),"",_xlpm.v)),IF(操作台!$B$4="接龙导入",IFERROR(INDEX(计算区!$H$5:$H$25,56),""),IF(COUNTA($L59:$P59)&gt;0,"手工议程","")))</f>
        <v/>
      </c>
      <c r="E59" s="5" t="str" cm="1">
        <f t="array" ref="E59">IF(操作台!$B$4="议程模板",_xlfn.LET(_xlpm.v,IFERROR(INDEX(_xlfn._xlws.FILTER(模板库!$M$2:$M$1000,(模板库!$B$2:$B$1000=操作台!$F$4)*(模板库!$E$2:$E$1000="item")),56),""),IF(OR(_xlpm.v="",_xlpm.v=0),"",_xlpm.v)),IF(操作台!$B$4="接龙导入",IFERROR(INDEX(计算区!$N$5:$N$25,56),""),IF(COUNTA($L59:$P59)&gt;0,"plain","")))</f>
        <v/>
      </c>
      <c r="F59" s="27" t="str">
        <f>IF($B59="","",IF(COUNTIF($Q$4:$Q58,"*排程*")&gt;0,"",IF(COUNTIF($B$4:$B58,"&lt;&gt;")=0,IF(操作台!$B$4="接龙导入",IF(计算区!$E$7&lt;&gt;"",计算区!$E$7,操作台!$F$10),操作台!$F$10),MAX($R$4:$R58))))</f>
        <v/>
      </c>
      <c r="G59" s="5" t="str" cm="1">
        <f t="array" ref="G59">IF(操作台!$B$4="议程模板",_xlfn.LET(_xlpm.v,IFERROR(INDEX(_xlfn._xlws.FILTER(模板库!$H$2:$H$1000,(模板库!$B$2:$B$1000=操作台!$F$4)*(模板库!$E$2:$E$1000="item")),56),""),IF(OR(_xlpm.v="",_xlpm.v=0),"",_xlpm.v)),IF(操作台!$B$4="接龙导入",IFERROR(INDEX(计算区!$I$5:$I$25,56),""),""))</f>
        <v/>
      </c>
      <c r="H59" s="5" t="str" cm="1">
        <f t="array" ref="H59">IF(操作台!$B$4="议程模板",_xlfn.LET(_xlpm.v,IFERROR(INDEX(_xlfn._xlws.FILTER(模板库!$I$2:$I$1000,(模板库!$B$2:$B$1000=操作台!$F$4)*(模板库!$E$2:$E$1000="item")),56),""),IF(OR(_xlpm.v="",_xlpm.v=0),"",_xlpm.v)),IF(操作台!$B$4="接龙导入","",""))</f>
        <v/>
      </c>
      <c r="I59" s="5" t="str" cm="1">
        <f t="array" ref="I59">IF(操作台!$B$4="议程模板",_xlfn.LET(_xlpm.v,IFERROR(INDEX(_xlfn._xlws.FILTER(模板库!$J$2:$J$1000,(模板库!$B$2:$B$1000=操作台!$F$4)*(模板库!$E$2:$E$1000="item")),56),""),IF(OR(_xlpm.v="",_xlpm.v=0),"",_xlpm.v)),IF(操作台!$B$4="接龙导入",IFERROR(INDEX(计算区!$J$5:$J$25,56),""),""))</f>
        <v/>
      </c>
      <c r="J59" s="5" t="str" cm="1">
        <f t="array" ref="J59">IF(操作台!$B$4="议程模板",_xlfn.LET(_xlpm.v,IFERROR(INDEX(_xlfn._xlws.FILTER(模板库!$K$2:$K$1000,(模板库!$B$2:$B$1000=操作台!$F$4)*(模板库!$E$2:$E$1000="item")),56),""),IF(OR(_xlpm.v="",_xlpm.v=0),"",_xlpm.v)),IF(操作台!$B$4="接龙导入",IFERROR(INDEX(计算区!$K$5:$K$25,56),""),""))</f>
        <v/>
      </c>
      <c r="K59" s="5" t="str" cm="1">
        <f t="array" ref="K59">IF(操作台!$B$4="议程模板",_xlfn.LET(_xlpm.v,IFERROR(INDEX(_xlfn._xlws.FILTER(模板库!$L$2:$L$1000,(模板库!$B$2:$B$1000=操作台!$F$4)*(模板库!$E$2:$E$1000="item")),56),""),IF(OR(_xlpm.v="",_xlpm.v=0),"",_xlpm.v)),IF(操作台!$B$4="接龙导入",IFERROR(INDEX(计算区!$M$5:$M$25,56),""),""))</f>
        <v/>
      </c>
      <c r="L59" s="23"/>
      <c r="M59" s="24"/>
      <c r="N59" s="24"/>
      <c r="O59" s="24"/>
      <c r="P59" s="25"/>
      <c r="Q59" s="26" t="str">
        <f>IF($B59="","",_xlfn.LET(_xlpm.m,IF($O59&lt;&gt;"",$O59,$J59),_xlpm.p,IF($P59&lt;&gt;"",$P59,IF($K59="","待定",$K59)),_xlpm.title,IF($L59&lt;&gt;"",$L59,$G59),_xlfn.TEXTJOIN("；",TRUE,IF(_xlpm.title="","缺少标题",""),IF(_xlpm.m="","缺少排程分钟",IF(NOT(ISNUMBER(_xlpm.m)),"排程分钟无效","")),IF(_xlpm.p="待定","负责人待定",""),IF(AND($A59&gt;1,$F59=""),"前序排程中断",""))))</f>
        <v/>
      </c>
      <c r="R59" s="28" t="str">
        <f t="shared" si="2"/>
        <v/>
      </c>
      <c r="S59">
        <f t="shared" si="3"/>
        <v>0</v>
      </c>
    </row>
    <row r="60" spans="1:19" ht="27" customHeight="1">
      <c r="A60" s="5">
        <v>57</v>
      </c>
      <c r="B60" s="5" t="str" cm="1">
        <f t="array" ref="B60">IF(操作台!$B$4="议程模板",_xlfn.LET(_xlpm.v,IFERROR(INDEX(_xlfn._xlws.FILTER(模板库!$D$2:$D$1000,(模板库!$B$2:$B$1000=操作台!$F$4)*(模板库!$E$2:$E$1000="item")),57),""),IF(OR(_xlpm.v="",_xlpm.v=0),"",_xlpm.v)),IF(操作台!$B$4="接龙导入",IFERROR(INDEX(计算区!$F$5:$F$25,57),""),IF(COUNTA($L60:$P60)&gt;0,"manual-"&amp;TEXT($A60,"00"),"")))</f>
        <v/>
      </c>
      <c r="C60" s="5" t="str" cm="1">
        <f t="array" ref="C60">IF(操作台!$B$4="议程模板",_xlfn.LET(_xlpm.v,IFERROR(INDEX(_xlfn._xlws.FILTER(模板库!$F$2:$F$1000,(模板库!$B$2:$B$1000=操作台!$F$4)*(模板库!$E$2:$E$1000="item")),57),""),IF(OR(_xlpm.v="",_xlpm.v=0),"",_xlpm.v)),IF(操作台!$B$4="接龙导入",IFERROR(INDEX(计算区!$G$5:$G$25,57),""),IF(COUNTA($L60:$P60)&gt;0,1,"")))</f>
        <v/>
      </c>
      <c r="D60" s="5" t="str" cm="1">
        <f t="array" ref="D60">IF(操作台!$B$4="议程模板",_xlfn.LET(_xlpm.v,IFERROR(INDEX(_xlfn._xlws.FILTER(模板库!$G$2:$G$1000,(模板库!$B$2:$B$1000=操作台!$F$4)*(模板库!$E$2:$E$1000="item")),57),""),IF(OR(_xlpm.v="",_xlpm.v=0),"",_xlpm.v)),IF(操作台!$B$4="接龙导入",IFERROR(INDEX(计算区!$H$5:$H$25,57),""),IF(COUNTA($L60:$P60)&gt;0,"手工议程","")))</f>
        <v/>
      </c>
      <c r="E60" s="5" t="str" cm="1">
        <f t="array" ref="E60">IF(操作台!$B$4="议程模板",_xlfn.LET(_xlpm.v,IFERROR(INDEX(_xlfn._xlws.FILTER(模板库!$M$2:$M$1000,(模板库!$B$2:$B$1000=操作台!$F$4)*(模板库!$E$2:$E$1000="item")),57),""),IF(OR(_xlpm.v="",_xlpm.v=0),"",_xlpm.v)),IF(操作台!$B$4="接龙导入",IFERROR(INDEX(计算区!$N$5:$N$25,57),""),IF(COUNTA($L60:$P60)&gt;0,"plain","")))</f>
        <v/>
      </c>
      <c r="F60" s="27" t="str">
        <f>IF($B60="","",IF(COUNTIF($Q$4:$Q59,"*排程*")&gt;0,"",IF(COUNTIF($B$4:$B59,"&lt;&gt;")=0,IF(操作台!$B$4="接龙导入",IF(计算区!$E$7&lt;&gt;"",计算区!$E$7,操作台!$F$10),操作台!$F$10),MAX($R$4:$R59))))</f>
        <v/>
      </c>
      <c r="G60" s="5" t="str" cm="1">
        <f t="array" ref="G60">IF(操作台!$B$4="议程模板",_xlfn.LET(_xlpm.v,IFERROR(INDEX(_xlfn._xlws.FILTER(模板库!$H$2:$H$1000,(模板库!$B$2:$B$1000=操作台!$F$4)*(模板库!$E$2:$E$1000="item")),57),""),IF(OR(_xlpm.v="",_xlpm.v=0),"",_xlpm.v)),IF(操作台!$B$4="接龙导入",IFERROR(INDEX(计算区!$I$5:$I$25,57),""),""))</f>
        <v/>
      </c>
      <c r="H60" s="5" t="str" cm="1">
        <f t="array" ref="H60">IF(操作台!$B$4="议程模板",_xlfn.LET(_xlpm.v,IFERROR(INDEX(_xlfn._xlws.FILTER(模板库!$I$2:$I$1000,(模板库!$B$2:$B$1000=操作台!$F$4)*(模板库!$E$2:$E$1000="item")),57),""),IF(OR(_xlpm.v="",_xlpm.v=0),"",_xlpm.v)),IF(操作台!$B$4="接龙导入","",""))</f>
        <v/>
      </c>
      <c r="I60" s="5" t="str" cm="1">
        <f t="array" ref="I60">IF(操作台!$B$4="议程模板",_xlfn.LET(_xlpm.v,IFERROR(INDEX(_xlfn._xlws.FILTER(模板库!$J$2:$J$1000,(模板库!$B$2:$B$1000=操作台!$F$4)*(模板库!$E$2:$E$1000="item")),57),""),IF(OR(_xlpm.v="",_xlpm.v=0),"",_xlpm.v)),IF(操作台!$B$4="接龙导入",IFERROR(INDEX(计算区!$J$5:$J$25,57),""),""))</f>
        <v/>
      </c>
      <c r="J60" s="5" t="str" cm="1">
        <f t="array" ref="J60">IF(操作台!$B$4="议程模板",_xlfn.LET(_xlpm.v,IFERROR(INDEX(_xlfn._xlws.FILTER(模板库!$K$2:$K$1000,(模板库!$B$2:$B$1000=操作台!$F$4)*(模板库!$E$2:$E$1000="item")),57),""),IF(OR(_xlpm.v="",_xlpm.v=0),"",_xlpm.v)),IF(操作台!$B$4="接龙导入",IFERROR(INDEX(计算区!$K$5:$K$25,57),""),""))</f>
        <v/>
      </c>
      <c r="K60" s="5" t="str" cm="1">
        <f t="array" ref="K60">IF(操作台!$B$4="议程模板",_xlfn.LET(_xlpm.v,IFERROR(INDEX(_xlfn._xlws.FILTER(模板库!$L$2:$L$1000,(模板库!$B$2:$B$1000=操作台!$F$4)*(模板库!$E$2:$E$1000="item")),57),""),IF(OR(_xlpm.v="",_xlpm.v=0),"",_xlpm.v)),IF(操作台!$B$4="接龙导入",IFERROR(INDEX(计算区!$M$5:$M$25,57),""),""))</f>
        <v/>
      </c>
      <c r="L60" s="23"/>
      <c r="M60" s="24"/>
      <c r="N60" s="24"/>
      <c r="O60" s="24"/>
      <c r="P60" s="25"/>
      <c r="Q60" s="26" t="str">
        <f>IF($B60="","",_xlfn.LET(_xlpm.m,IF($O60&lt;&gt;"",$O60,$J60),_xlpm.p,IF($P60&lt;&gt;"",$P60,IF($K60="","待定",$K60)),_xlpm.title,IF($L60&lt;&gt;"",$L60,$G60),_xlfn.TEXTJOIN("；",TRUE,IF(_xlpm.title="","缺少标题",""),IF(_xlpm.m="","缺少排程分钟",IF(NOT(ISNUMBER(_xlpm.m)),"排程分钟无效","")),IF(_xlpm.p="待定","负责人待定",""),IF(AND($A60&gt;1,$F60=""),"前序排程中断",""))))</f>
        <v/>
      </c>
      <c r="R60" s="28" t="str">
        <f t="shared" si="2"/>
        <v/>
      </c>
      <c r="S60">
        <f t="shared" si="3"/>
        <v>0</v>
      </c>
    </row>
    <row r="61" spans="1:19" ht="27" customHeight="1">
      <c r="A61" s="5">
        <v>58</v>
      </c>
      <c r="B61" s="5" t="str" cm="1">
        <f t="array" ref="B61">IF(操作台!$B$4="议程模板",_xlfn.LET(_xlpm.v,IFERROR(INDEX(_xlfn._xlws.FILTER(模板库!$D$2:$D$1000,(模板库!$B$2:$B$1000=操作台!$F$4)*(模板库!$E$2:$E$1000="item")),58),""),IF(OR(_xlpm.v="",_xlpm.v=0),"",_xlpm.v)),IF(操作台!$B$4="接龙导入",IFERROR(INDEX(计算区!$F$5:$F$25,58),""),IF(COUNTA($L61:$P61)&gt;0,"manual-"&amp;TEXT($A61,"00"),"")))</f>
        <v/>
      </c>
      <c r="C61" s="5" t="str" cm="1">
        <f t="array" ref="C61">IF(操作台!$B$4="议程模板",_xlfn.LET(_xlpm.v,IFERROR(INDEX(_xlfn._xlws.FILTER(模板库!$F$2:$F$1000,(模板库!$B$2:$B$1000=操作台!$F$4)*(模板库!$E$2:$E$1000="item")),58),""),IF(OR(_xlpm.v="",_xlpm.v=0),"",_xlpm.v)),IF(操作台!$B$4="接龙导入",IFERROR(INDEX(计算区!$G$5:$G$25,58),""),IF(COUNTA($L61:$P61)&gt;0,1,"")))</f>
        <v/>
      </c>
      <c r="D61" s="5" t="str" cm="1">
        <f t="array" ref="D61">IF(操作台!$B$4="议程模板",_xlfn.LET(_xlpm.v,IFERROR(INDEX(_xlfn._xlws.FILTER(模板库!$G$2:$G$1000,(模板库!$B$2:$B$1000=操作台!$F$4)*(模板库!$E$2:$E$1000="item")),58),""),IF(OR(_xlpm.v="",_xlpm.v=0),"",_xlpm.v)),IF(操作台!$B$4="接龙导入",IFERROR(INDEX(计算区!$H$5:$H$25,58),""),IF(COUNTA($L61:$P61)&gt;0,"手工议程","")))</f>
        <v/>
      </c>
      <c r="E61" s="5" t="str" cm="1">
        <f t="array" ref="E61">IF(操作台!$B$4="议程模板",_xlfn.LET(_xlpm.v,IFERROR(INDEX(_xlfn._xlws.FILTER(模板库!$M$2:$M$1000,(模板库!$B$2:$B$1000=操作台!$F$4)*(模板库!$E$2:$E$1000="item")),58),""),IF(OR(_xlpm.v="",_xlpm.v=0),"",_xlpm.v)),IF(操作台!$B$4="接龙导入",IFERROR(INDEX(计算区!$N$5:$N$25,58),""),IF(COUNTA($L61:$P61)&gt;0,"plain","")))</f>
        <v/>
      </c>
      <c r="F61" s="27" t="str">
        <f>IF($B61="","",IF(COUNTIF($Q$4:$Q60,"*排程*")&gt;0,"",IF(COUNTIF($B$4:$B60,"&lt;&gt;")=0,IF(操作台!$B$4="接龙导入",IF(计算区!$E$7&lt;&gt;"",计算区!$E$7,操作台!$F$10),操作台!$F$10),MAX($R$4:$R60))))</f>
        <v/>
      </c>
      <c r="G61" s="5" t="str" cm="1">
        <f t="array" ref="G61">IF(操作台!$B$4="议程模板",_xlfn.LET(_xlpm.v,IFERROR(INDEX(_xlfn._xlws.FILTER(模板库!$H$2:$H$1000,(模板库!$B$2:$B$1000=操作台!$F$4)*(模板库!$E$2:$E$1000="item")),58),""),IF(OR(_xlpm.v="",_xlpm.v=0),"",_xlpm.v)),IF(操作台!$B$4="接龙导入",IFERROR(INDEX(计算区!$I$5:$I$25,58),""),""))</f>
        <v/>
      </c>
      <c r="H61" s="5" t="str" cm="1">
        <f t="array" ref="H61">IF(操作台!$B$4="议程模板",_xlfn.LET(_xlpm.v,IFERROR(INDEX(_xlfn._xlws.FILTER(模板库!$I$2:$I$1000,(模板库!$B$2:$B$1000=操作台!$F$4)*(模板库!$E$2:$E$1000="item")),58),""),IF(OR(_xlpm.v="",_xlpm.v=0),"",_xlpm.v)),IF(操作台!$B$4="接龙导入","",""))</f>
        <v/>
      </c>
      <c r="I61" s="5" t="str" cm="1">
        <f t="array" ref="I61">IF(操作台!$B$4="议程模板",_xlfn.LET(_xlpm.v,IFERROR(INDEX(_xlfn._xlws.FILTER(模板库!$J$2:$J$1000,(模板库!$B$2:$B$1000=操作台!$F$4)*(模板库!$E$2:$E$1000="item")),58),""),IF(OR(_xlpm.v="",_xlpm.v=0),"",_xlpm.v)),IF(操作台!$B$4="接龙导入",IFERROR(INDEX(计算区!$J$5:$J$25,58),""),""))</f>
        <v/>
      </c>
      <c r="J61" s="5" t="str" cm="1">
        <f t="array" ref="J61">IF(操作台!$B$4="议程模板",_xlfn.LET(_xlpm.v,IFERROR(INDEX(_xlfn._xlws.FILTER(模板库!$K$2:$K$1000,(模板库!$B$2:$B$1000=操作台!$F$4)*(模板库!$E$2:$E$1000="item")),58),""),IF(OR(_xlpm.v="",_xlpm.v=0),"",_xlpm.v)),IF(操作台!$B$4="接龙导入",IFERROR(INDEX(计算区!$K$5:$K$25,58),""),""))</f>
        <v/>
      </c>
      <c r="K61" s="5" t="str" cm="1">
        <f t="array" ref="K61">IF(操作台!$B$4="议程模板",_xlfn.LET(_xlpm.v,IFERROR(INDEX(_xlfn._xlws.FILTER(模板库!$L$2:$L$1000,(模板库!$B$2:$B$1000=操作台!$F$4)*(模板库!$E$2:$E$1000="item")),58),""),IF(OR(_xlpm.v="",_xlpm.v=0),"",_xlpm.v)),IF(操作台!$B$4="接龙导入",IFERROR(INDEX(计算区!$M$5:$M$25,58),""),""))</f>
        <v/>
      </c>
      <c r="L61" s="23"/>
      <c r="M61" s="24"/>
      <c r="N61" s="24"/>
      <c r="O61" s="24"/>
      <c r="P61" s="25"/>
      <c r="Q61" s="26" t="str">
        <f>IF($B61="","",_xlfn.LET(_xlpm.m,IF($O61&lt;&gt;"",$O61,$J61),_xlpm.p,IF($P61&lt;&gt;"",$P61,IF($K61="","待定",$K61)),_xlpm.title,IF($L61&lt;&gt;"",$L61,$G61),_xlfn.TEXTJOIN("；",TRUE,IF(_xlpm.title="","缺少标题",""),IF(_xlpm.m="","缺少排程分钟",IF(NOT(ISNUMBER(_xlpm.m)),"排程分钟无效","")),IF(_xlpm.p="待定","负责人待定",""),IF(AND($A61&gt;1,$F61=""),"前序排程中断",""))))</f>
        <v/>
      </c>
      <c r="R61" s="28" t="str">
        <f t="shared" si="2"/>
        <v/>
      </c>
      <c r="S61">
        <f t="shared" si="3"/>
        <v>0</v>
      </c>
    </row>
    <row r="62" spans="1:19" ht="27" customHeight="1">
      <c r="A62" s="5">
        <v>59</v>
      </c>
      <c r="B62" s="5" t="str" cm="1">
        <f t="array" ref="B62">IF(操作台!$B$4="议程模板",_xlfn.LET(_xlpm.v,IFERROR(INDEX(_xlfn._xlws.FILTER(模板库!$D$2:$D$1000,(模板库!$B$2:$B$1000=操作台!$F$4)*(模板库!$E$2:$E$1000="item")),59),""),IF(OR(_xlpm.v="",_xlpm.v=0),"",_xlpm.v)),IF(操作台!$B$4="接龙导入",IFERROR(INDEX(计算区!$F$5:$F$25,59),""),IF(COUNTA($L62:$P62)&gt;0,"manual-"&amp;TEXT($A62,"00"),"")))</f>
        <v/>
      </c>
      <c r="C62" s="5" t="str" cm="1">
        <f t="array" ref="C62">IF(操作台!$B$4="议程模板",_xlfn.LET(_xlpm.v,IFERROR(INDEX(_xlfn._xlws.FILTER(模板库!$F$2:$F$1000,(模板库!$B$2:$B$1000=操作台!$F$4)*(模板库!$E$2:$E$1000="item")),59),""),IF(OR(_xlpm.v="",_xlpm.v=0),"",_xlpm.v)),IF(操作台!$B$4="接龙导入",IFERROR(INDEX(计算区!$G$5:$G$25,59),""),IF(COUNTA($L62:$P62)&gt;0,1,"")))</f>
        <v/>
      </c>
      <c r="D62" s="5" t="str" cm="1">
        <f t="array" ref="D62">IF(操作台!$B$4="议程模板",_xlfn.LET(_xlpm.v,IFERROR(INDEX(_xlfn._xlws.FILTER(模板库!$G$2:$G$1000,(模板库!$B$2:$B$1000=操作台!$F$4)*(模板库!$E$2:$E$1000="item")),59),""),IF(OR(_xlpm.v="",_xlpm.v=0),"",_xlpm.v)),IF(操作台!$B$4="接龙导入",IFERROR(INDEX(计算区!$H$5:$H$25,59),""),IF(COUNTA($L62:$P62)&gt;0,"手工议程","")))</f>
        <v/>
      </c>
      <c r="E62" s="5" t="str" cm="1">
        <f t="array" ref="E62">IF(操作台!$B$4="议程模板",_xlfn.LET(_xlpm.v,IFERROR(INDEX(_xlfn._xlws.FILTER(模板库!$M$2:$M$1000,(模板库!$B$2:$B$1000=操作台!$F$4)*(模板库!$E$2:$E$1000="item")),59),""),IF(OR(_xlpm.v="",_xlpm.v=0),"",_xlpm.v)),IF(操作台!$B$4="接龙导入",IFERROR(INDEX(计算区!$N$5:$N$25,59),""),IF(COUNTA($L62:$P62)&gt;0,"plain","")))</f>
        <v/>
      </c>
      <c r="F62" s="27" t="str">
        <f>IF($B62="","",IF(COUNTIF($Q$4:$Q61,"*排程*")&gt;0,"",IF(COUNTIF($B$4:$B61,"&lt;&gt;")=0,IF(操作台!$B$4="接龙导入",IF(计算区!$E$7&lt;&gt;"",计算区!$E$7,操作台!$F$10),操作台!$F$10),MAX($R$4:$R61))))</f>
        <v/>
      </c>
      <c r="G62" s="5" t="str" cm="1">
        <f t="array" ref="G62">IF(操作台!$B$4="议程模板",_xlfn.LET(_xlpm.v,IFERROR(INDEX(_xlfn._xlws.FILTER(模板库!$H$2:$H$1000,(模板库!$B$2:$B$1000=操作台!$F$4)*(模板库!$E$2:$E$1000="item")),59),""),IF(OR(_xlpm.v="",_xlpm.v=0),"",_xlpm.v)),IF(操作台!$B$4="接龙导入",IFERROR(INDEX(计算区!$I$5:$I$25,59),""),""))</f>
        <v/>
      </c>
      <c r="H62" s="5" t="str" cm="1">
        <f t="array" ref="H62">IF(操作台!$B$4="议程模板",_xlfn.LET(_xlpm.v,IFERROR(INDEX(_xlfn._xlws.FILTER(模板库!$I$2:$I$1000,(模板库!$B$2:$B$1000=操作台!$F$4)*(模板库!$E$2:$E$1000="item")),59),""),IF(OR(_xlpm.v="",_xlpm.v=0),"",_xlpm.v)),IF(操作台!$B$4="接龙导入","",""))</f>
        <v/>
      </c>
      <c r="I62" s="5" t="str" cm="1">
        <f t="array" ref="I62">IF(操作台!$B$4="议程模板",_xlfn.LET(_xlpm.v,IFERROR(INDEX(_xlfn._xlws.FILTER(模板库!$J$2:$J$1000,(模板库!$B$2:$B$1000=操作台!$F$4)*(模板库!$E$2:$E$1000="item")),59),""),IF(OR(_xlpm.v="",_xlpm.v=0),"",_xlpm.v)),IF(操作台!$B$4="接龙导入",IFERROR(INDEX(计算区!$J$5:$J$25,59),""),""))</f>
        <v/>
      </c>
      <c r="J62" s="5" t="str" cm="1">
        <f t="array" ref="J62">IF(操作台!$B$4="议程模板",_xlfn.LET(_xlpm.v,IFERROR(INDEX(_xlfn._xlws.FILTER(模板库!$K$2:$K$1000,(模板库!$B$2:$B$1000=操作台!$F$4)*(模板库!$E$2:$E$1000="item")),59),""),IF(OR(_xlpm.v="",_xlpm.v=0),"",_xlpm.v)),IF(操作台!$B$4="接龙导入",IFERROR(INDEX(计算区!$K$5:$K$25,59),""),""))</f>
        <v/>
      </c>
      <c r="K62" s="5" t="str" cm="1">
        <f t="array" ref="K62">IF(操作台!$B$4="议程模板",_xlfn.LET(_xlpm.v,IFERROR(INDEX(_xlfn._xlws.FILTER(模板库!$L$2:$L$1000,(模板库!$B$2:$B$1000=操作台!$F$4)*(模板库!$E$2:$E$1000="item")),59),""),IF(OR(_xlpm.v="",_xlpm.v=0),"",_xlpm.v)),IF(操作台!$B$4="接龙导入",IFERROR(INDEX(计算区!$M$5:$M$25,59),""),""))</f>
        <v/>
      </c>
      <c r="L62" s="23"/>
      <c r="M62" s="24"/>
      <c r="N62" s="24"/>
      <c r="O62" s="24"/>
      <c r="P62" s="25"/>
      <c r="Q62" s="26" t="str">
        <f>IF($B62="","",_xlfn.LET(_xlpm.m,IF($O62&lt;&gt;"",$O62,$J62),_xlpm.p,IF($P62&lt;&gt;"",$P62,IF($K62="","待定",$K62)),_xlpm.title,IF($L62&lt;&gt;"",$L62,$G62),_xlfn.TEXTJOIN("；",TRUE,IF(_xlpm.title="","缺少标题",""),IF(_xlpm.m="","缺少排程分钟",IF(NOT(ISNUMBER(_xlpm.m)),"排程分钟无效","")),IF(_xlpm.p="待定","负责人待定",""),IF(AND($A62&gt;1,$F62=""),"前序排程中断",""))))</f>
        <v/>
      </c>
      <c r="R62" s="28" t="str">
        <f t="shared" si="2"/>
        <v/>
      </c>
      <c r="S62">
        <f t="shared" si="3"/>
        <v>0</v>
      </c>
    </row>
    <row r="63" spans="1:19" ht="27" customHeight="1">
      <c r="A63" s="5">
        <v>60</v>
      </c>
      <c r="B63" s="5" t="str" cm="1">
        <f t="array" ref="B63">IF(操作台!$B$4="议程模板",_xlfn.LET(_xlpm.v,IFERROR(INDEX(_xlfn._xlws.FILTER(模板库!$D$2:$D$1000,(模板库!$B$2:$B$1000=操作台!$F$4)*(模板库!$E$2:$E$1000="item")),60),""),IF(OR(_xlpm.v="",_xlpm.v=0),"",_xlpm.v)),IF(操作台!$B$4="接龙导入",IFERROR(INDEX(计算区!$F$5:$F$25,60),""),IF(COUNTA($L63:$P63)&gt;0,"manual-"&amp;TEXT($A63,"00"),"")))</f>
        <v/>
      </c>
      <c r="C63" s="5" t="str" cm="1">
        <f t="array" ref="C63">IF(操作台!$B$4="议程模板",_xlfn.LET(_xlpm.v,IFERROR(INDEX(_xlfn._xlws.FILTER(模板库!$F$2:$F$1000,(模板库!$B$2:$B$1000=操作台!$F$4)*(模板库!$E$2:$E$1000="item")),60),""),IF(OR(_xlpm.v="",_xlpm.v=0),"",_xlpm.v)),IF(操作台!$B$4="接龙导入",IFERROR(INDEX(计算区!$G$5:$G$25,60),""),IF(COUNTA($L63:$P63)&gt;0,1,"")))</f>
        <v/>
      </c>
      <c r="D63" s="5" t="str" cm="1">
        <f t="array" ref="D63">IF(操作台!$B$4="议程模板",_xlfn.LET(_xlpm.v,IFERROR(INDEX(_xlfn._xlws.FILTER(模板库!$G$2:$G$1000,(模板库!$B$2:$B$1000=操作台!$F$4)*(模板库!$E$2:$E$1000="item")),60),""),IF(OR(_xlpm.v="",_xlpm.v=0),"",_xlpm.v)),IF(操作台!$B$4="接龙导入",IFERROR(INDEX(计算区!$H$5:$H$25,60),""),IF(COUNTA($L63:$P63)&gt;0,"手工议程","")))</f>
        <v/>
      </c>
      <c r="E63" s="5" t="str" cm="1">
        <f t="array" ref="E63">IF(操作台!$B$4="议程模板",_xlfn.LET(_xlpm.v,IFERROR(INDEX(_xlfn._xlws.FILTER(模板库!$M$2:$M$1000,(模板库!$B$2:$B$1000=操作台!$F$4)*(模板库!$E$2:$E$1000="item")),60),""),IF(OR(_xlpm.v="",_xlpm.v=0),"",_xlpm.v)),IF(操作台!$B$4="接龙导入",IFERROR(INDEX(计算区!$N$5:$N$25,60),""),IF(COUNTA($L63:$P63)&gt;0,"plain","")))</f>
        <v/>
      </c>
      <c r="F63" s="27" t="str">
        <f>IF($B63="","",IF(COUNTIF($Q$4:$Q62,"*排程*")&gt;0,"",IF(COUNTIF($B$4:$B62,"&lt;&gt;")=0,IF(操作台!$B$4="接龙导入",IF(计算区!$E$7&lt;&gt;"",计算区!$E$7,操作台!$F$10),操作台!$F$10),MAX($R$4:$R62))))</f>
        <v/>
      </c>
      <c r="G63" s="5" t="str" cm="1">
        <f t="array" ref="G63">IF(操作台!$B$4="议程模板",_xlfn.LET(_xlpm.v,IFERROR(INDEX(_xlfn._xlws.FILTER(模板库!$H$2:$H$1000,(模板库!$B$2:$B$1000=操作台!$F$4)*(模板库!$E$2:$E$1000="item")),60),""),IF(OR(_xlpm.v="",_xlpm.v=0),"",_xlpm.v)),IF(操作台!$B$4="接龙导入",IFERROR(INDEX(计算区!$I$5:$I$25,60),""),""))</f>
        <v/>
      </c>
      <c r="H63" s="5" t="str" cm="1">
        <f t="array" ref="H63">IF(操作台!$B$4="议程模板",_xlfn.LET(_xlpm.v,IFERROR(INDEX(_xlfn._xlws.FILTER(模板库!$I$2:$I$1000,(模板库!$B$2:$B$1000=操作台!$F$4)*(模板库!$E$2:$E$1000="item")),60),""),IF(OR(_xlpm.v="",_xlpm.v=0),"",_xlpm.v)),IF(操作台!$B$4="接龙导入","",""))</f>
        <v/>
      </c>
      <c r="I63" s="5" t="str" cm="1">
        <f t="array" ref="I63">IF(操作台!$B$4="议程模板",_xlfn.LET(_xlpm.v,IFERROR(INDEX(_xlfn._xlws.FILTER(模板库!$J$2:$J$1000,(模板库!$B$2:$B$1000=操作台!$F$4)*(模板库!$E$2:$E$1000="item")),60),""),IF(OR(_xlpm.v="",_xlpm.v=0),"",_xlpm.v)),IF(操作台!$B$4="接龙导入",IFERROR(INDEX(计算区!$J$5:$J$25,60),""),""))</f>
        <v/>
      </c>
      <c r="J63" s="5" t="str" cm="1">
        <f t="array" ref="J63">IF(操作台!$B$4="议程模板",_xlfn.LET(_xlpm.v,IFERROR(INDEX(_xlfn._xlws.FILTER(模板库!$K$2:$K$1000,(模板库!$B$2:$B$1000=操作台!$F$4)*(模板库!$E$2:$E$1000="item")),60),""),IF(OR(_xlpm.v="",_xlpm.v=0),"",_xlpm.v)),IF(操作台!$B$4="接龙导入",IFERROR(INDEX(计算区!$K$5:$K$25,60),""),""))</f>
        <v/>
      </c>
      <c r="K63" s="5" t="str" cm="1">
        <f t="array" ref="K63">IF(操作台!$B$4="议程模板",_xlfn.LET(_xlpm.v,IFERROR(INDEX(_xlfn._xlws.FILTER(模板库!$L$2:$L$1000,(模板库!$B$2:$B$1000=操作台!$F$4)*(模板库!$E$2:$E$1000="item")),60),""),IF(OR(_xlpm.v="",_xlpm.v=0),"",_xlpm.v)),IF(操作台!$B$4="接龙导入",IFERROR(INDEX(计算区!$M$5:$M$25,60),""),""))</f>
        <v/>
      </c>
      <c r="L63" s="20"/>
      <c r="M63" s="21"/>
      <c r="N63" s="21"/>
      <c r="O63" s="21"/>
      <c r="P63" s="22"/>
      <c r="Q63" s="26" t="str">
        <f>IF($B63="","",_xlfn.LET(_xlpm.m,IF($O63&lt;&gt;"",$O63,$J63),_xlpm.p,IF($P63&lt;&gt;"",$P63,IF($K63="","待定",$K63)),_xlpm.title,IF($L63&lt;&gt;"",$L63,$G63),_xlfn.TEXTJOIN("；",TRUE,IF(_xlpm.title="","缺少标题",""),IF(_xlpm.m="","缺少排程分钟",IF(NOT(ISNUMBER(_xlpm.m)),"排程分钟无效","")),IF(_xlpm.p="待定","负责人待定",""),IF(AND($A63&gt;1,$F63=""),"前序排程中断",""))))</f>
        <v/>
      </c>
      <c r="R63" s="28" t="str">
        <f t="shared" si="2"/>
        <v/>
      </c>
      <c r="S63">
        <f t="shared" si="3"/>
        <v>0</v>
      </c>
    </row>
  </sheetData>
  <mergeCells count="2">
    <mergeCell ref="A1:Q2"/>
    <mergeCell ref="R1:R2"/>
  </mergeCells>
  <phoneticPr fontId="20" type="noConversion"/>
  <conditionalFormatting sqref="Q4:Q63">
    <cfRule type="containsText" dxfId="9" priority="1" operator="containsText" text="待定"/>
    <cfRule type="containsText" dxfId="8" priority="2" operator="containsText" text="排程"/>
  </conditionalFormatting>
  <dataValidations count="1">
    <dataValidation type="whole" sqref="O4:O63" xr:uid="{00000000-0002-0000-0100-000000000000}">
      <formula1>0</formula1>
      <formula2>240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48"/>
  <sheetViews>
    <sheetView showGridLines="0" workbookViewId="0"/>
  </sheetViews>
  <sheetFormatPr defaultRowHeight="13.8"/>
  <cols>
    <col min="1" max="1" width="3" style="88" customWidth="1"/>
    <col min="2" max="4" width="5.69921875" style="88" customWidth="1"/>
    <col min="5" max="5" width="4.69921875" style="88" customWidth="1"/>
    <col min="6" max="6" width="2.5" style="88" customWidth="1"/>
    <col min="7" max="7" width="5" style="88" customWidth="1"/>
    <col min="8" max="8" width="5.19921875" style="88" customWidth="1"/>
    <col min="9" max="9" width="6" style="88" customWidth="1"/>
    <col min="10" max="10" width="3.69921875" style="88" customWidth="1"/>
    <col min="11" max="12" width="8.5" style="88" customWidth="1"/>
    <col min="13" max="13" width="6.5" style="88" customWidth="1"/>
    <col min="14" max="14" width="5.69921875" style="88" customWidth="1"/>
    <col min="15" max="16" width="6" style="88" customWidth="1"/>
    <col min="17" max="16384" width="8.796875" style="88"/>
  </cols>
  <sheetData>
    <row r="1" spans="1:16" ht="21" customHeight="1">
      <c r="A1" s="85"/>
      <c r="B1" s="86"/>
      <c r="C1" s="87" t="s">
        <v>48</v>
      </c>
      <c r="D1" s="87" t="s">
        <v>48</v>
      </c>
      <c r="E1" s="87" t="s">
        <v>48</v>
      </c>
      <c r="F1" s="87" t="s">
        <v>48</v>
      </c>
      <c r="G1" s="87" t="s">
        <v>48</v>
      </c>
      <c r="H1" s="87" t="s">
        <v>48</v>
      </c>
      <c r="I1" s="87" t="s">
        <v>48</v>
      </c>
      <c r="J1" s="87" t="s">
        <v>48</v>
      </c>
      <c r="K1" s="87" t="s">
        <v>48</v>
      </c>
      <c r="L1" s="87" t="s">
        <v>48</v>
      </c>
      <c r="M1" s="87" t="s">
        <v>48</v>
      </c>
      <c r="N1" s="87" t="s">
        <v>48</v>
      </c>
      <c r="O1" s="87" t="s">
        <v>48</v>
      </c>
      <c r="P1" s="87" t="s">
        <v>48</v>
      </c>
    </row>
    <row r="2" spans="1:16" ht="21" customHeight="1">
      <c r="A2" s="89"/>
      <c r="B2" s="90"/>
      <c r="C2" s="87" t="s">
        <v>48</v>
      </c>
      <c r="D2" s="87" t="s">
        <v>48</v>
      </c>
      <c r="E2" s="87" t="s">
        <v>48</v>
      </c>
      <c r="F2" s="87" t="s">
        <v>48</v>
      </c>
      <c r="G2" s="87" t="s">
        <v>48</v>
      </c>
      <c r="H2" s="87" t="s">
        <v>48</v>
      </c>
      <c r="I2" s="87" t="s">
        <v>48</v>
      </c>
      <c r="J2" s="87" t="s">
        <v>48</v>
      </c>
      <c r="K2" s="87" t="s">
        <v>48</v>
      </c>
      <c r="L2" s="87" t="s">
        <v>48</v>
      </c>
      <c r="M2" s="87" t="s">
        <v>48</v>
      </c>
      <c r="N2" s="87" t="s">
        <v>48</v>
      </c>
      <c r="O2" s="87" t="s">
        <v>48</v>
      </c>
      <c r="P2" s="87" t="s">
        <v>48</v>
      </c>
    </row>
    <row r="3" spans="1:16" ht="21" customHeight="1">
      <c r="A3" s="91" t="str">
        <f>"畅言中文国际演讲俱乐部 · 第 "&amp;IF(操作台!$B$4="接龙导入",IF(计算区!$E$2&lt;&gt;"",计算区!$E$2,操作台!$B$7),操作台!$B$7)&amp;" 期"</f>
        <v>畅言中文国际演讲俱乐部 · 第 782 期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</row>
    <row r="4" spans="1:16" ht="16.5" customHeight="1">
      <c r="A4" s="92" t="str">
        <f>"主题："&amp;IF(操作台!$B$4="接龙导入",IF(计算区!$E$3&lt;&gt;"",计算区!$E$3,操作台!$F$7),操作台!$F$7)</f>
        <v>主题：复盘：我过的怎么样</v>
      </c>
      <c r="B4" s="93"/>
      <c r="C4" s="93"/>
      <c r="D4" s="93"/>
      <c r="E4" s="93"/>
      <c r="F4" s="93"/>
      <c r="G4" s="93"/>
      <c r="H4" s="94"/>
      <c r="I4" s="92" t="str">
        <f>"今日一词："&amp;IF(操作台!$B$4="接龙导入",IF(计算区!$E$4&lt;&gt;"",计算区!$E$4,操作台!$J$7),操作台!$J$7)</f>
        <v>今日一词：看见</v>
      </c>
      <c r="J4" s="93"/>
      <c r="K4" s="93"/>
      <c r="L4" s="94"/>
      <c r="M4" s="92" t="str">
        <f>"例会经理："&amp;IF(操作台!$B$4="接龙导入",IF(计算区!$E$5&lt;&gt;"",计算区!$E$5,操作台!$N$7),操作台!$N$7)</f>
        <v>例会经理：斯敏</v>
      </c>
      <c r="N4" s="93"/>
      <c r="O4" s="93"/>
      <c r="P4" s="94"/>
    </row>
    <row r="5" spans="1:16" ht="16.5" customHeight="1">
      <c r="A5" s="95" t="str">
        <f>"日期："&amp;TEXT(IF(操作台!$B$4="接龙导入",IF(计算区!$E$6&lt;&gt;"",计算区!$E$6,操作台!$B$10),操作台!$B$10),"yyyy-mm-dd")&amp;"   时间："&amp;TEXT(IF(操作台!$B$4="接龙导入",IF(计算区!$E$7&lt;&gt;"",计算区!$E$7,操作台!$F$10),操作台!$F$10),"hh:mm")&amp;"–"&amp;TEXT(IF(操作台!$B$4="接龙导入",IF(计算区!$E$8&lt;&gt;"",计算区!$E$8,操作台!$J$10),操作台!$J$10),"hh:mm")&amp;"   地点："&amp;IF(操作台!$B$4="接龙导入",IF(计算区!$E$9&lt;&gt;"",计算区!$E$9,操作台!$B$13),操作台!$B$13)</f>
        <v>日期：2026-06-30   时间：19:20–21:30   地点：深圳市南山区科技园讯美科技广场3号楼4楼SPACE MAX会议室(高新中A出口)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</row>
    <row r="6" spans="1:16" ht="16.5" customHeight="1">
      <c r="A6" s="96" t="s">
        <v>49</v>
      </c>
      <c r="B6" s="96" t="s">
        <v>49</v>
      </c>
      <c r="C6" s="96" t="s">
        <v>49</v>
      </c>
      <c r="D6" s="96" t="s">
        <v>49</v>
      </c>
      <c r="E6" s="96" t="s">
        <v>49</v>
      </c>
      <c r="F6" s="96" t="s">
        <v>49</v>
      </c>
      <c r="G6" s="96" t="s">
        <v>49</v>
      </c>
      <c r="H6" s="96" t="s">
        <v>49</v>
      </c>
      <c r="I6" s="96" t="s">
        <v>49</v>
      </c>
      <c r="J6" s="96" t="s">
        <v>49</v>
      </c>
      <c r="K6" s="96" t="s">
        <v>49</v>
      </c>
      <c r="L6" s="96" t="s">
        <v>49</v>
      </c>
      <c r="M6" s="96" t="s">
        <v>49</v>
      </c>
      <c r="N6" s="96" t="s">
        <v>49</v>
      </c>
      <c r="O6" s="96" t="s">
        <v>49</v>
      </c>
      <c r="P6" s="96" t="s">
        <v>49</v>
      </c>
    </row>
    <row r="7" spans="1:16" ht="18" customHeight="1">
      <c r="A7" s="97" t="s">
        <v>50</v>
      </c>
      <c r="B7" s="97" t="s">
        <v>50</v>
      </c>
      <c r="C7" s="97" t="s">
        <v>50</v>
      </c>
      <c r="D7" s="97" t="s">
        <v>50</v>
      </c>
      <c r="E7" s="97" t="s">
        <v>50</v>
      </c>
      <c r="F7" s="98" t="s">
        <v>51</v>
      </c>
      <c r="G7" s="98" t="s">
        <v>51</v>
      </c>
      <c r="H7" s="98" t="s">
        <v>51</v>
      </c>
      <c r="I7" s="99" t="s">
        <v>52</v>
      </c>
      <c r="J7" s="98" t="s">
        <v>53</v>
      </c>
      <c r="K7" s="98" t="s">
        <v>53</v>
      </c>
      <c r="L7" s="98" t="s">
        <v>53</v>
      </c>
      <c r="M7" s="98" t="s">
        <v>53</v>
      </c>
      <c r="N7" s="99" t="s">
        <v>54</v>
      </c>
      <c r="O7" s="98" t="s">
        <v>55</v>
      </c>
      <c r="P7" s="98" t="s">
        <v>55</v>
      </c>
    </row>
    <row r="8" spans="1:16" ht="16.5" customHeight="1">
      <c r="A8" s="100" t="str">
        <f>基础资料!$B$4</f>
        <v>畅言中文国际演讲俱乐部，成立于2009年，是南山第一家中文俱乐部，隶属于第118大区、D中区、D5小区。</v>
      </c>
      <c r="B8" s="101"/>
      <c r="C8" s="101"/>
      <c r="D8" s="101"/>
      <c r="E8" s="102"/>
      <c r="F8" s="103" t="str">
        <f>IF(议程编辑!$B4="","",IF(1=MATCH(议程编辑!$C4,议程编辑!$C$4:$C$33,0)+INT((COUNTIF(议程编辑!$C$4:$C$33,议程编辑!$C4)-1)/2),议程编辑!$C4,""))</f>
        <v/>
      </c>
      <c r="G8" s="104" t="str">
        <f>IF(议程编辑!$B4="","",IF(1=MATCH(议程编辑!$C4,议程编辑!$C$4:$C$33,0)+INT((COUNTIF(议程编辑!$C$4:$C$33,议程编辑!$C4)-1)/2),议程编辑!$D4,""))</f>
        <v/>
      </c>
      <c r="H8" s="105"/>
      <c r="I8" s="106">
        <f>IF(议程编辑!$B4="","",议程编辑!$F4)</f>
        <v>0.80555555555555558</v>
      </c>
      <c r="J8" s="107" t="str">
        <f>IF(议程编辑!$B4="","",IF(议程编辑!$L4&lt;&gt;"",议程编辑!$L4,议程编辑!$G4)&amp;IF(IF(议程编辑!$M4&lt;&gt;"",议程编辑!$M4,议程编辑!$H4)="","",CHAR(10)&amp;IF(议程编辑!$M4&lt;&gt;"",议程编辑!$M4,议程编辑!$H4)))</f>
        <v>来宾入会，相互认识与交流</v>
      </c>
      <c r="K8" s="107"/>
      <c r="L8" s="107"/>
      <c r="M8" s="107"/>
      <c r="N8" s="108" t="str">
        <f>IF(议程编辑!$B4="","",IF(议程编辑!$N4&lt;&gt;"",议程编辑!$N4,议程编辑!$I4))</f>
        <v>5</v>
      </c>
      <c r="O8" s="109" t="str">
        <f>IF(议程编辑!$B4="","",IF(议程编辑!$P4&lt;&gt;"",议程编辑!$P4,IF(议程编辑!$K4="","待定",议程编辑!$K4)))</f>
        <v>全体会员</v>
      </c>
      <c r="P8" s="109"/>
    </row>
    <row r="9" spans="1:16" ht="16.5" customHeight="1">
      <c r="A9" s="110"/>
      <c r="B9" s="111"/>
      <c r="C9" s="111"/>
      <c r="D9" s="111"/>
      <c r="E9" s="112"/>
      <c r="F9" s="103" t="str">
        <f>IF(议程编辑!$B5="","",IF(2=MATCH(议程编辑!$C5,议程编辑!$C$4:$C$33,0)+INT((COUNTIF(议程编辑!$C$4:$C$33,议程编辑!$C5)-1)/2),议程编辑!$C5,""))</f>
        <v/>
      </c>
      <c r="G9" s="104" t="str">
        <f>IF(议程编辑!$B5="","",IF(2=MATCH(议程编辑!$C5,议程编辑!$C$4:$C$33,0)+INT((COUNTIF(议程编辑!$C$4:$C$33,议程编辑!$C5)-1)/2),议程编辑!$D5,""))</f>
        <v/>
      </c>
      <c r="H9" s="105"/>
      <c r="I9" s="106">
        <f>IF(议程编辑!$B5="","",议程编辑!$F5)</f>
        <v>0.80902777777777779</v>
      </c>
      <c r="J9" s="107" t="str">
        <f>IF(议程编辑!$B5="","",IF(议程编辑!$L5&lt;&gt;"",议程编辑!$L5,议程编辑!$G5)&amp;IF(IF(议程编辑!$M5&lt;&gt;"",议程编辑!$M5,议程编辑!$H5)="","",CHAR(10)&amp;IF(议程编辑!$M5&lt;&gt;"",议程编辑!$M5,议程编辑!$H5)))</f>
        <v>暖场互动</v>
      </c>
      <c r="K9" s="107"/>
      <c r="L9" s="107"/>
      <c r="M9" s="107"/>
      <c r="N9" s="108" t="str">
        <f>IF(议程编辑!$B5="","",IF(议程编辑!$N5&lt;&gt;"",议程编辑!$N5,议程编辑!$I5))</f>
        <v>5</v>
      </c>
      <c r="O9" s="109" t="str">
        <f>IF(议程编辑!$B5="","",IF(议程编辑!$P5&lt;&gt;"",议程编辑!$P5,IF(议程编辑!$K5="","待定",议程编辑!$K5)))</f>
        <v>全体会员</v>
      </c>
      <c r="P9" s="109"/>
    </row>
    <row r="10" spans="1:16" ht="16.5" customHeight="1">
      <c r="A10" s="110"/>
      <c r="B10" s="111"/>
      <c r="C10" s="111"/>
      <c r="D10" s="111"/>
      <c r="E10" s="112"/>
      <c r="F10" s="103" t="str">
        <f>IF(议程编辑!$B6="","",IF(3=MATCH(议程编辑!$C6,议程编辑!$C$4:$C$33,0)+INT((COUNTIF(议程编辑!$C$4:$C$33,议程编辑!$C6)-1)/2),议程编辑!$C6,""))</f>
        <v/>
      </c>
      <c r="G10" s="104" t="str">
        <f>IF(议程编辑!$B6="","",IF(3=MATCH(议程编辑!$C6,议程编辑!$C$4:$C$33,0)+INT((COUNTIF(议程编辑!$C$4:$C$33,议程编辑!$C6)-1)/2),议程编辑!$D6,""))</f>
        <v/>
      </c>
      <c r="H10" s="105"/>
      <c r="I10" s="106">
        <f>IF(议程编辑!$B6="","",议程编辑!$F6)</f>
        <v>0.8125</v>
      </c>
      <c r="J10" s="107" t="str">
        <f>IF(议程编辑!$B6="","",IF(议程编辑!$L6&lt;&gt;"",议程编辑!$L6,议程编辑!$G6)&amp;IF(IF(议程编辑!$M6&lt;&gt;"",议程编辑!$M6,议程编辑!$H6)="","",CHAR(10)&amp;IF(议程编辑!$M6&lt;&gt;"",议程编辑!$M6,议程编辑!$H6)))</f>
        <v>事务官宣布会议规则</v>
      </c>
      <c r="K10" s="107"/>
      <c r="L10" s="107"/>
      <c r="M10" s="107"/>
      <c r="N10" s="108" t="str">
        <f>IF(议程编辑!$B6="","",IF(议程编辑!$N6&lt;&gt;"",议程编辑!$N6,议程编辑!$I6))</f>
        <v>1</v>
      </c>
      <c r="O10" s="109" t="str">
        <f>IF(议程编辑!$B6="","",IF(议程编辑!$P6&lt;&gt;"",议程编辑!$P6,IF(议程编辑!$K6="","待定",议程编辑!$K6)))</f>
        <v>待定</v>
      </c>
      <c r="P10" s="109"/>
    </row>
    <row r="11" spans="1:16" ht="16.5" customHeight="1">
      <c r="A11" s="110"/>
      <c r="B11" s="111"/>
      <c r="C11" s="111"/>
      <c r="D11" s="111"/>
      <c r="E11" s="112"/>
      <c r="F11" s="103">
        <f>IF(议程编辑!$B7="","",IF(4=MATCH(议程编辑!$C7,议程编辑!$C$4:$C$33,0)+INT((COUNTIF(议程编辑!$C$4:$C$33,议程编辑!$C7)-1)/2),议程编辑!$C7,""))</f>
        <v>1</v>
      </c>
      <c r="G11" s="104" t="str">
        <f>IF(议程编辑!$B7="","",IF(4=MATCH(议程编辑!$C7,议程编辑!$C$4:$C$33,0)+INT((COUNTIF(议程编辑!$C$4:$C$33,议程编辑!$C7)-1)/2),议程编辑!$D7,""))</f>
        <v>开场环节</v>
      </c>
      <c r="H11" s="105"/>
      <c r="I11" s="106">
        <f>IF(议程编辑!$B7="","",议程编辑!$F7)</f>
        <v>0.81319444444444444</v>
      </c>
      <c r="J11" s="107" t="str">
        <f>IF(议程编辑!$B7="","",IF(议程编辑!$L7&lt;&gt;"",议程编辑!$L7,议程编辑!$G7)&amp;IF(IF(议程编辑!$M7&lt;&gt;"",议程编辑!$M7,议程编辑!$H7)="","",CHAR(10)&amp;IF(议程编辑!$M7&lt;&gt;"",议程编辑!$M7,议程编辑!$H7)))</f>
        <v>主席致词</v>
      </c>
      <c r="K11" s="107"/>
      <c r="L11" s="107"/>
      <c r="M11" s="107"/>
      <c r="N11" s="108" t="str">
        <f>IF(议程编辑!$B7="","",IF(议程编辑!$N7&lt;&gt;"",议程编辑!$N7,议程编辑!$I7))</f>
        <v>3</v>
      </c>
      <c r="O11" s="109" t="str">
        <f>IF(议程编辑!$B7="","",IF(议程编辑!$P7&lt;&gt;"",议程编辑!$P7,IF(议程编辑!$K7="","待定",议程编辑!$K7)))</f>
        <v>待定</v>
      </c>
      <c r="P11" s="109"/>
    </row>
    <row r="12" spans="1:16" ht="16.5" customHeight="1">
      <c r="A12" s="110"/>
      <c r="B12" s="111"/>
      <c r="C12" s="111"/>
      <c r="D12" s="111"/>
      <c r="E12" s="112"/>
      <c r="F12" s="103" t="str">
        <f>IF(议程编辑!$B8="","",IF(5=MATCH(议程编辑!$C8,议程编辑!$C$4:$C$33,0)+INT((COUNTIF(议程编辑!$C$4:$C$33,议程编辑!$C8)-1)/2),议程编辑!$C8,""))</f>
        <v/>
      </c>
      <c r="G12" s="104" t="str">
        <f>IF(议程编辑!$B8="","",IF(5=MATCH(议程编辑!$C8,议程编辑!$C$4:$C$33,0)+INT((COUNTIF(议程编辑!$C$4:$C$33,议程编辑!$C8)-1)/2),议程编辑!$D8,""))</f>
        <v/>
      </c>
      <c r="H12" s="105"/>
      <c r="I12" s="106">
        <f>IF(议程编辑!$B8="","",议程编辑!$F8)</f>
        <v>0.81527777777777777</v>
      </c>
      <c r="J12" s="107" t="str">
        <f>IF(议程编辑!$B8="","",IF(议程编辑!$L8&lt;&gt;"",议程编辑!$L8,议程编辑!$G8)&amp;IF(IF(议程编辑!$M8&lt;&gt;"",议程编辑!$M8,议程编辑!$H8)="","",CHAR(10)&amp;IF(议程编辑!$M8&lt;&gt;"",议程编辑!$M8,议程编辑!$H8)))</f>
        <v>总主持开场，介绍会议流程</v>
      </c>
      <c r="K12" s="107"/>
      <c r="L12" s="107"/>
      <c r="M12" s="107"/>
      <c r="N12" s="108" t="str">
        <f>IF(议程编辑!$B8="","",IF(议程编辑!$N8&lt;&gt;"",议程编辑!$N8,议程编辑!$I8))</f>
        <v>2</v>
      </c>
      <c r="O12" s="109" t="str">
        <f>IF(议程编辑!$B8="","",IF(议程编辑!$P8&lt;&gt;"",议程编辑!$P8,IF(议程编辑!$K8="","待定",议程编辑!$K8)))</f>
        <v>待定</v>
      </c>
      <c r="P12" s="109"/>
    </row>
    <row r="13" spans="1:16" ht="16.5" customHeight="1">
      <c r="A13" s="113"/>
      <c r="B13" s="114"/>
      <c r="C13" s="114"/>
      <c r="D13" s="114"/>
      <c r="E13" s="115"/>
      <c r="F13" s="103" t="str">
        <f>IF(议程编辑!$B9="","",IF(6=MATCH(议程编辑!$C9,议程编辑!$C$4:$C$33,0)+INT((COUNTIF(议程编辑!$C$4:$C$33,议程编辑!$C9)-1)/2),议程编辑!$C9,""))</f>
        <v/>
      </c>
      <c r="G13" s="104" t="str">
        <f>IF(议程编辑!$B9="","",IF(6=MATCH(议程编辑!$C9,议程编辑!$C$4:$C$33,0)+INT((COUNTIF(议程编辑!$C$4:$C$33,议程编辑!$C9)-1)/2),议程编辑!$D9,""))</f>
        <v/>
      </c>
      <c r="H13" s="105"/>
      <c r="I13" s="106">
        <f>IF(议程编辑!$B9="","",议程编辑!$F9)</f>
        <v>0.81666666666666665</v>
      </c>
      <c r="J13" s="107" t="str">
        <f>IF(议程编辑!$B9="","",IF(议程编辑!$L9&lt;&gt;"",议程编辑!$L9,议程编辑!$G9)&amp;IF(IF(议程编辑!$M9&lt;&gt;"",议程编辑!$M9,议程编辑!$H9)="","",CHAR(10)&amp;IF(议程编辑!$M9&lt;&gt;"",议程编辑!$M9,议程编辑!$H9)))</f>
        <v>时间官宣言</v>
      </c>
      <c r="K13" s="107"/>
      <c r="L13" s="107"/>
      <c r="M13" s="107"/>
      <c r="N13" s="108" t="str">
        <f>IF(议程编辑!$B9="","",IF(议程编辑!$N9&lt;&gt;"",议程编辑!$N9,议程编辑!$I9))</f>
        <v>2</v>
      </c>
      <c r="O13" s="109" t="str">
        <f>IF(议程编辑!$B9="","",IF(议程编辑!$P9&lt;&gt;"",议程编辑!$P9,IF(议程编辑!$K9="","待定",议程编辑!$K9)))</f>
        <v>待定</v>
      </c>
      <c r="P13" s="109"/>
    </row>
    <row r="14" spans="1:16" ht="16.5" customHeight="1">
      <c r="A14" s="116" t="s">
        <v>56</v>
      </c>
      <c r="B14" s="116" t="s">
        <v>56</v>
      </c>
      <c r="C14" s="116" t="s">
        <v>56</v>
      </c>
      <c r="D14" s="116" t="s">
        <v>56</v>
      </c>
      <c r="E14" s="116" t="s">
        <v>56</v>
      </c>
      <c r="F14" s="103" t="str">
        <f>IF(议程编辑!$B10="","",IF(7=MATCH(议程编辑!$C10,议程编辑!$C$4:$C$33,0)+INT((COUNTIF(议程编辑!$C$4:$C$33,议程编辑!$C10)-1)/2),议程编辑!$C10,""))</f>
        <v/>
      </c>
      <c r="G14" s="104" t="str">
        <f>IF(议程编辑!$B10="","",IF(7=MATCH(议程编辑!$C10,议程编辑!$C$4:$C$33,0)+INT((COUNTIF(议程编辑!$C$4:$C$33,议程编辑!$C10)-1)/2),议程编辑!$D10,""))</f>
        <v/>
      </c>
      <c r="H14" s="105"/>
      <c r="I14" s="106">
        <f>IF(议程编辑!$B10="","",议程编辑!$F10)</f>
        <v>0.81805555555555554</v>
      </c>
      <c r="J14" s="107" t="str">
        <f>IF(议程编辑!$B10="","",IF(议程编辑!$L10&lt;&gt;"",议程编辑!$L10,议程编辑!$G10)&amp;IF(IF(议程编辑!$M10&lt;&gt;"",议程编辑!$M10,议程编辑!$H10)="","",CHAR(10)&amp;IF(议程编辑!$M10&lt;&gt;"",议程编辑!$M10,议程编辑!$H10)))</f>
        <v>哼哈官宣言</v>
      </c>
      <c r="K14" s="107"/>
      <c r="L14" s="107"/>
      <c r="M14" s="107"/>
      <c r="N14" s="108" t="str">
        <f>IF(议程编辑!$B10="","",IF(议程编辑!$N10&lt;&gt;"",议程编辑!$N10,议程编辑!$I10))</f>
        <v>2</v>
      </c>
      <c r="O14" s="109" t="str">
        <f>IF(议程编辑!$B10="","",IF(议程编辑!$P10&lt;&gt;"",议程编辑!$P10,IF(议程编辑!$K10="","待定",议程编辑!$K10)))</f>
        <v>待定</v>
      </c>
      <c r="P14" s="109"/>
    </row>
    <row r="15" spans="1:16" ht="16.5" customHeight="1">
      <c r="A15" s="100" t="str">
        <f>基础资料!$B$14</f>
        <v>手机请调至静音｜请留意时间官提示｜欢迎鼓掌、反馈与投票｜入会咨询请联系会员副会长</v>
      </c>
      <c r="B15" s="101"/>
      <c r="C15" s="101"/>
      <c r="D15" s="101"/>
      <c r="E15" s="102"/>
      <c r="F15" s="103" t="str">
        <f>IF(议程编辑!$B11="","",IF(8=MATCH(议程编辑!$C11,议程编辑!$C$4:$C$33,0)+INT((COUNTIF(议程编辑!$C$4:$C$33,议程编辑!$C11)-1)/2),议程编辑!$C11,""))</f>
        <v/>
      </c>
      <c r="G15" s="104" t="str">
        <f>IF(议程编辑!$B11="","",IF(8=MATCH(议程编辑!$C11,议程编辑!$C$4:$C$33,0)+INT((COUNTIF(议程编辑!$C$4:$C$33,议程编辑!$C11)-1)/2),议程编辑!$D11,""))</f>
        <v/>
      </c>
      <c r="H15" s="105"/>
      <c r="I15" s="106">
        <f>IF(议程编辑!$B11="","",议程编辑!$F11)</f>
        <v>0.81944444444444442</v>
      </c>
      <c r="J15" s="107" t="str">
        <f>IF(议程编辑!$B11="","",IF(议程编辑!$L11&lt;&gt;"",议程编辑!$L11,议程编辑!$G11)&amp;IF(IF(议程编辑!$M11&lt;&gt;"",议程编辑!$M11,议程编辑!$H11)="","",CHAR(10)&amp;IF(议程编辑!$M11&lt;&gt;"",议程编辑!$M11,议程编辑!$H11)))</f>
        <v>语法官宣言</v>
      </c>
      <c r="K15" s="107"/>
      <c r="L15" s="107"/>
      <c r="M15" s="107"/>
      <c r="N15" s="108" t="str">
        <f>IF(议程编辑!$B11="","",IF(议程编辑!$N11&lt;&gt;"",议程编辑!$N11,议程编辑!$I11))</f>
        <v>2</v>
      </c>
      <c r="O15" s="109" t="str">
        <f>IF(议程编辑!$B11="","",IF(议程编辑!$P11&lt;&gt;"",议程编辑!$P11,IF(议程编辑!$K11="","待定",议程编辑!$K11)))</f>
        <v>待定</v>
      </c>
      <c r="P15" s="109"/>
    </row>
    <row r="16" spans="1:16" ht="16.5" customHeight="1">
      <c r="A16" s="110"/>
      <c r="B16" s="111"/>
      <c r="C16" s="111"/>
      <c r="D16" s="111"/>
      <c r="E16" s="112"/>
      <c r="F16" s="103">
        <f>IF(议程编辑!$B12="","",IF(9=MATCH(议程编辑!$C12,议程编辑!$C$4:$C$33,0)+INT((COUNTIF(议程编辑!$C$4:$C$33,议程编辑!$C12)-1)/2),议程编辑!$C12,""))</f>
        <v>2</v>
      </c>
      <c r="G16" s="104" t="str">
        <f>IF(议程编辑!$B12="","",IF(9=MATCH(议程编辑!$C12,议程编辑!$C$4:$C$33,0)+INT((COUNTIF(议程编辑!$C$4:$C$33,议程编辑!$C12)-1)/2),议程编辑!$D12,""))</f>
        <v>即兴演讲</v>
      </c>
      <c r="H16" s="105"/>
      <c r="I16" s="106">
        <f>IF(议程编辑!$B12="","",议程编辑!$F12)</f>
        <v>0.8208333333333333</v>
      </c>
      <c r="J16" s="107" t="str">
        <f>IF(议程编辑!$B12="","",IF(议程编辑!$L12&lt;&gt;"",议程编辑!$L12,议程编辑!$G12)&amp;IF(IF(议程编辑!$M12&lt;&gt;"",议程编辑!$M12,议程编辑!$H12)="","",CHAR(10)&amp;IF(议程编辑!$M12&lt;&gt;"",议程编辑!$M12,议程编辑!$H12)))</f>
        <v>即兴主持介绍规则</v>
      </c>
      <c r="K16" s="107"/>
      <c r="L16" s="107"/>
      <c r="M16" s="107"/>
      <c r="N16" s="108" t="str">
        <f>IF(议程编辑!$B12="","",IF(议程编辑!$N12&lt;&gt;"",议程编辑!$N12,议程编辑!$I12))</f>
        <v>2</v>
      </c>
      <c r="O16" s="109" t="str">
        <f>IF(议程编辑!$B12="","",IF(议程编辑!$P12&lt;&gt;"",议程编辑!$P12,IF(议程编辑!$K12="","待定",议程编辑!$K12)))</f>
        <v>待定</v>
      </c>
      <c r="P16" s="109"/>
    </row>
    <row r="17" spans="1:16" ht="16.5" customHeight="1">
      <c r="A17" s="110"/>
      <c r="B17" s="111"/>
      <c r="C17" s="111"/>
      <c r="D17" s="111"/>
      <c r="E17" s="112"/>
      <c r="F17" s="103" t="str">
        <f>IF(议程编辑!$B13="","",IF(10=MATCH(议程编辑!$C13,议程编辑!$C$4:$C$33,0)+INT((COUNTIF(议程编辑!$C$4:$C$33,议程编辑!$C13)-1)/2),议程编辑!$C13,""))</f>
        <v/>
      </c>
      <c r="G17" s="104" t="str">
        <f>IF(议程编辑!$B13="","",IF(10=MATCH(议程编辑!$C13,议程编辑!$C$4:$C$33,0)+INT((COUNTIF(议程编辑!$C$4:$C$33,议程编辑!$C13)-1)/2),议程编辑!$D13,""))</f>
        <v/>
      </c>
      <c r="H17" s="105"/>
      <c r="I17" s="106">
        <f>IF(议程编辑!$B13="","",议程编辑!$F13)</f>
        <v>0.82222222222222219</v>
      </c>
      <c r="J17" s="107" t="str">
        <f>IF(议程编辑!$B13="","",IF(议程编辑!$L13&lt;&gt;"",议程编辑!$L13,议程编辑!$G13)&amp;IF(IF(议程编辑!$M13&lt;&gt;"",议程编辑!$M13,议程编辑!$H13)="","",CHAR(10)&amp;IF(议程编辑!$M13&lt;&gt;"",议程编辑!$M13,议程编辑!$H13)))</f>
        <v>即兴演讲</v>
      </c>
      <c r="K17" s="107"/>
      <c r="L17" s="107"/>
      <c r="M17" s="107"/>
      <c r="N17" s="108" t="str">
        <f>IF(议程编辑!$B13="","",IF(议程编辑!$N13&lt;&gt;"",议程编辑!$N13,议程编辑!$I13))</f>
        <v>16</v>
      </c>
      <c r="O17" s="109" t="str">
        <f>IF(议程编辑!$B13="","",IF(议程编辑!$P13&lt;&gt;"",议程编辑!$P13,IF(议程编辑!$K13="","待定",议程编辑!$K13)))</f>
        <v>全员</v>
      </c>
      <c r="P17" s="109"/>
    </row>
    <row r="18" spans="1:16" ht="16.5" customHeight="1">
      <c r="A18" s="110"/>
      <c r="B18" s="111"/>
      <c r="C18" s="111"/>
      <c r="D18" s="111"/>
      <c r="E18" s="112"/>
      <c r="F18" s="103" t="str">
        <f>IF(议程编辑!$B14="","",IF(11=MATCH(议程编辑!$C14,议程编辑!$C$4:$C$33,0)+INT((COUNTIF(议程编辑!$C$4:$C$33,议程编辑!$C14)-1)/2),议程编辑!$C14,""))</f>
        <v/>
      </c>
      <c r="G18" s="104" t="str">
        <f>IF(议程编辑!$B14="","",IF(11=MATCH(议程编辑!$C14,议程编辑!$C$4:$C$33,0)+INT((COUNTIF(议程编辑!$C$4:$C$33,议程编辑!$C14)-1)/2),议程编辑!$D14,""))</f>
        <v/>
      </c>
      <c r="H18" s="105"/>
      <c r="I18" s="106">
        <f>IF(议程编辑!$B14="","",议程编辑!$F14)</f>
        <v>0.83333333333333326</v>
      </c>
      <c r="J18" s="107" t="str">
        <f>IF(议程编辑!$B14="","",IF(议程编辑!$L14&lt;&gt;"",议程编辑!$L14,议程编辑!$G14)&amp;IF(IF(议程编辑!$M14&lt;&gt;"",议程编辑!$M14,议程编辑!$H14)="","",CHAR(10)&amp;IF(议程编辑!$M14&lt;&gt;"",议程编辑!$M14,议程编辑!$H14)))</f>
        <v>总主持人介绍本环节+串场</v>
      </c>
      <c r="K18" s="107"/>
      <c r="L18" s="107"/>
      <c r="M18" s="107"/>
      <c r="N18" s="108" t="str">
        <f>IF(议程编辑!$B14="","",IF(议程编辑!$N14&lt;&gt;"",议程编辑!$N14,议程编辑!$I14))</f>
        <v>2</v>
      </c>
      <c r="O18" s="109" t="str">
        <f>IF(议程编辑!$B14="","",IF(议程编辑!$P14&lt;&gt;"",议程编辑!$P14,IF(议程编辑!$K14="","待定",议程编辑!$K14)))</f>
        <v>待定</v>
      </c>
      <c r="P18" s="109"/>
    </row>
    <row r="19" spans="1:16" ht="16.5" customHeight="1">
      <c r="A19" s="113"/>
      <c r="B19" s="114"/>
      <c r="C19" s="114"/>
      <c r="D19" s="114"/>
      <c r="E19" s="115"/>
      <c r="F19" s="103" t="str">
        <f>IF(议程编辑!$B15="","",IF(12=MATCH(议程编辑!$C15,议程编辑!$C$4:$C$33,0)+INT((COUNTIF(议程编辑!$C$4:$C$33,议程编辑!$C15)-1)/2),议程编辑!$C15,""))</f>
        <v/>
      </c>
      <c r="G19" s="104" t="str">
        <f>IF(议程编辑!$B15="","",IF(12=MATCH(议程编辑!$C15,议程编辑!$C$4:$C$33,0)+INT((COUNTIF(议程编辑!$C$4:$C$33,议程编辑!$C15)-1)/2),议程编辑!$D15,""))</f>
        <v/>
      </c>
      <c r="H19" s="105"/>
      <c r="I19" s="106">
        <f>IF(议程编辑!$B15="","",议程编辑!$F15)</f>
        <v>0.83472222222222214</v>
      </c>
      <c r="J19" s="107" t="str">
        <f>IF(议程编辑!$B15="","",IF(议程编辑!$L15&lt;&gt;"",议程编辑!$L15,议程编辑!$G15)&amp;IF(IF(议程编辑!$M15&lt;&gt;"",议程编辑!$M15,议程编辑!$H15)="","",CHAR(10)&amp;IF(议程编辑!$M15&lt;&gt;"",议程编辑!$M15,议程编辑!$H15)))</f>
        <v>备稿演讲1</v>
      </c>
      <c r="K19" s="107"/>
      <c r="L19" s="107"/>
      <c r="M19" s="107"/>
      <c r="N19" s="108" t="str">
        <f>IF(议程编辑!$B15="","",IF(议程编辑!$N15&lt;&gt;"",议程编辑!$N15,议程编辑!$I15))</f>
        <v>5</v>
      </c>
      <c r="O19" s="109" t="str">
        <f>IF(议程编辑!$B15="","",IF(议程编辑!$P15&lt;&gt;"",议程编辑!$P15,IF(议程编辑!$K15="","待定",议程编辑!$K15)))</f>
        <v>待定</v>
      </c>
      <c r="P19" s="109"/>
    </row>
    <row r="20" spans="1:16" ht="16.5" customHeight="1">
      <c r="A20" s="96" t="s">
        <v>57</v>
      </c>
      <c r="B20" s="96" t="s">
        <v>57</v>
      </c>
      <c r="C20" s="96" t="s">
        <v>57</v>
      </c>
      <c r="D20" s="96" t="s">
        <v>57</v>
      </c>
      <c r="E20" s="96" t="s">
        <v>57</v>
      </c>
      <c r="F20" s="103">
        <f>IF(议程编辑!$B16="","",IF(13=MATCH(议程编辑!$C16,议程编辑!$C$4:$C$33,0)+INT((COUNTIF(议程编辑!$C$4:$C$33,议程编辑!$C16)-1)/2),议程编辑!$C16,""))</f>
        <v>3</v>
      </c>
      <c r="G20" s="104" t="str">
        <f>IF(议程编辑!$B16="","",IF(13=MATCH(议程编辑!$C16,议程编辑!$C$4:$C$33,0)+INT((COUNTIF(议程编辑!$C$4:$C$33,议程编辑!$C16)-1)/2),议程编辑!$D16,""))</f>
        <v>精心演讲环节</v>
      </c>
      <c r="H20" s="105"/>
      <c r="I20" s="106">
        <f>IF(议程编辑!$B16="","",议程编辑!$F16)</f>
        <v>0.83819444444444435</v>
      </c>
      <c r="J20" s="107" t="str">
        <f>IF(议程编辑!$B16="","",IF(议程编辑!$L16&lt;&gt;"",议程编辑!$L16,议程编辑!$G16)&amp;IF(IF(议程编辑!$M16&lt;&gt;"",议程编辑!$M16,议程编辑!$H16)="","",CHAR(10)&amp;IF(议程编辑!$M16&lt;&gt;"",议程编辑!$M16,议程编辑!$H16)))</f>
        <v>备稿演讲2</v>
      </c>
      <c r="K20" s="107"/>
      <c r="L20" s="107"/>
      <c r="M20" s="107"/>
      <c r="N20" s="108" t="str">
        <f>IF(议程编辑!$B16="","",IF(议程编辑!$N16&lt;&gt;"",议程编辑!$N16,议程编辑!$I16))</f>
        <v>15-20</v>
      </c>
      <c r="O20" s="109" t="str">
        <f>IF(议程编辑!$B16="","",IF(议程编辑!$P16&lt;&gt;"",议程编辑!$P16,IF(议程编辑!$K16="","待定",议程编辑!$K16)))</f>
        <v>待定</v>
      </c>
      <c r="P20" s="109"/>
    </row>
    <row r="21" spans="1:16" ht="16.5" customHeight="1">
      <c r="A21" s="117"/>
      <c r="B21" s="117"/>
      <c r="C21" s="117"/>
      <c r="D21" s="117"/>
      <c r="E21" s="117"/>
      <c r="F21" s="103" t="str">
        <f>IF(议程编辑!$B17="","",IF(14=MATCH(议程编辑!$C17,议程编辑!$C$4:$C$33,0)+INT((COUNTIF(议程编辑!$C$4:$C$33,议程编辑!$C17)-1)/2),议程编辑!$C17,""))</f>
        <v/>
      </c>
      <c r="G21" s="104" t="str">
        <f>IF(议程编辑!$B17="","",IF(14=MATCH(议程编辑!$C17,议程编辑!$C$4:$C$33,0)+INT((COUNTIF(议程编辑!$C$4:$C$33,议程编辑!$C17)-1)/2),议程编辑!$D17,""))</f>
        <v/>
      </c>
      <c r="H21" s="105"/>
      <c r="I21" s="106">
        <f>IF(议程编辑!$B17="","",议程编辑!$F17)</f>
        <v>0.85208333333333319</v>
      </c>
      <c r="J21" s="107" t="str">
        <f>IF(议程编辑!$B17="","",IF(议程编辑!$L17&lt;&gt;"",议程编辑!$L17,议程编辑!$G17)&amp;IF(IF(议程编辑!$M17&lt;&gt;"",议程编辑!$M17,议程编辑!$H17)="","",CHAR(10)&amp;IF(议程编辑!$M17&lt;&gt;"",议程编辑!$M17,议程编辑!$H17)))</f>
        <v>来宾介绍</v>
      </c>
      <c r="K21" s="107"/>
      <c r="L21" s="107"/>
      <c r="M21" s="107"/>
      <c r="N21" s="108" t="str">
        <f>IF(议程编辑!$B17="","",IF(议程编辑!$N17&lt;&gt;"",议程编辑!$N17,议程编辑!$I17))</f>
        <v>5</v>
      </c>
      <c r="O21" s="109" t="str">
        <f>IF(议程编辑!$B17="","",IF(议程编辑!$P17&lt;&gt;"",议程编辑!$P17,IF(议程编辑!$K17="","待定",议程编辑!$K17)))</f>
        <v>待定</v>
      </c>
      <c r="P21" s="109"/>
    </row>
    <row r="22" spans="1:16" ht="16.5" customHeight="1">
      <c r="A22" s="117"/>
      <c r="B22" s="117"/>
      <c r="C22" s="117"/>
      <c r="D22" s="117"/>
      <c r="E22" s="117"/>
      <c r="F22" s="103" t="str">
        <f>IF(议程编辑!$B18="","",IF(15=MATCH(议程编辑!$C18,议程编辑!$C$4:$C$33,0)+INT((COUNTIF(议程编辑!$C$4:$C$33,议程编辑!$C18)-1)/2),议程编辑!$C18,""))</f>
        <v/>
      </c>
      <c r="G22" s="104" t="str">
        <f>IF(议程编辑!$B18="","",IF(15=MATCH(议程编辑!$C18,议程编辑!$C$4:$C$33,0)+INT((COUNTIF(议程编辑!$C$4:$C$33,议程编辑!$C18)-1)/2),议程编辑!$D18,""))</f>
        <v/>
      </c>
      <c r="H22" s="105"/>
      <c r="I22" s="106">
        <f>IF(议程编辑!$B18="","",议程编辑!$F18)</f>
        <v>0.8555555555555554</v>
      </c>
      <c r="J22" s="107" t="str">
        <f>IF(议程编辑!$B18="","",IF(议程编辑!$L18&lt;&gt;"",议程编辑!$L18,议程编辑!$G18)&amp;IF(IF(议程编辑!$M18&lt;&gt;"",议程编辑!$M18,议程编辑!$H18)="","",CHAR(10)&amp;IF(议程编辑!$M18&lt;&gt;"",议程编辑!$M18,议程编辑!$H18)))</f>
        <v>惊喜环节</v>
      </c>
      <c r="K22" s="107"/>
      <c r="L22" s="107"/>
      <c r="M22" s="107"/>
      <c r="N22" s="108" t="str">
        <f>IF(议程编辑!$B18="","",IF(议程编辑!$N18&lt;&gt;"",议程编辑!$N18,议程编辑!$I18))</f>
        <v>7</v>
      </c>
      <c r="O22" s="109" t="str">
        <f>IF(议程编辑!$B18="","",IF(议程编辑!$P18&lt;&gt;"",议程编辑!$P18,IF(议程编辑!$K18="","待定",议程编辑!$K18)))</f>
        <v>待定</v>
      </c>
      <c r="P22" s="109"/>
    </row>
    <row r="23" spans="1:16" ht="16.5" customHeight="1">
      <c r="A23" s="117"/>
      <c r="B23" s="117"/>
      <c r="C23" s="117"/>
      <c r="D23" s="117"/>
      <c r="E23" s="117"/>
      <c r="F23" s="103" t="str">
        <f>IF(议程编辑!$B19="","",IF(16=MATCH(议程编辑!$C19,议程编辑!$C$4:$C$33,0)+INT((COUNTIF(议程编辑!$C$4:$C$33,议程编辑!$C19)-1)/2),议程编辑!$C19,""))</f>
        <v/>
      </c>
      <c r="G23" s="104" t="str">
        <f>IF(议程编辑!$B19="","",IF(16=MATCH(议程编辑!$C19,议程编辑!$C$4:$C$33,0)+INT((COUNTIF(议程编辑!$C$4:$C$33,议程编辑!$C19)-1)/2),议程编辑!$D19,""))</f>
        <v/>
      </c>
      <c r="H23" s="105"/>
      <c r="I23" s="106">
        <f>IF(议程编辑!$B19="","",议程编辑!$F19)</f>
        <v>0.8604166666666665</v>
      </c>
      <c r="J23" s="107" t="str">
        <f>IF(议程编辑!$B19="","",IF(议程编辑!$L19&lt;&gt;"",议程编辑!$L19,议程编辑!$G19)&amp;IF(IF(议程编辑!$M19&lt;&gt;"",议程编辑!$M19,议程编辑!$H19)="","",CHAR(10)&amp;IF(议程编辑!$M19&lt;&gt;"",议程编辑!$M19,议程编辑!$H19)))</f>
        <v>茶歇+大合照</v>
      </c>
      <c r="K23" s="107"/>
      <c r="L23" s="107"/>
      <c r="M23" s="107"/>
      <c r="N23" s="108" t="str">
        <f>IF(议程编辑!$B19="","",IF(议程编辑!$N19&lt;&gt;"",议程编辑!$N19,议程编辑!$I19))</f>
        <v>5</v>
      </c>
      <c r="O23" s="109" t="str">
        <f>IF(议程编辑!$B19="","",IF(议程编辑!$P19&lt;&gt;"",议程编辑!$P19,IF(议程编辑!$K19="","待定",议程编辑!$K19)))</f>
        <v>全场人员</v>
      </c>
      <c r="P23" s="109"/>
    </row>
    <row r="24" spans="1:16" ht="16.5" customHeight="1">
      <c r="A24" s="117"/>
      <c r="B24" s="117"/>
      <c r="C24" s="117"/>
      <c r="D24" s="117"/>
      <c r="E24" s="117"/>
      <c r="F24" s="103" t="str">
        <f>IF(议程编辑!$B20="","",IF(17=MATCH(议程编辑!$C20,议程编辑!$C$4:$C$33,0)+INT((COUNTIF(议程编辑!$C$4:$C$33,议程编辑!$C20)-1)/2),议程编辑!$C20,""))</f>
        <v/>
      </c>
      <c r="G24" s="104" t="str">
        <f>IF(议程编辑!$B20="","",IF(17=MATCH(议程编辑!$C20,议程编辑!$C$4:$C$33,0)+INT((COUNTIF(议程编辑!$C$4:$C$33,议程编辑!$C20)-1)/2),议程编辑!$D20,""))</f>
        <v/>
      </c>
      <c r="H24" s="105"/>
      <c r="I24" s="106">
        <f>IF(议程编辑!$B20="","",议程编辑!$F20)</f>
        <v>0.86388888888888871</v>
      </c>
      <c r="J24" s="107" t="str">
        <f>IF(议程编辑!$B20="","",IF(议程编辑!$L20&lt;&gt;"",议程编辑!$L20,议程编辑!$G20)&amp;IF(IF(议程编辑!$M20&lt;&gt;"",议程编辑!$M20,议程编辑!$H20)="","",CHAR(10)&amp;IF(议程编辑!$M20&lt;&gt;"",议程编辑!$M20,议程编辑!$H20)))</f>
        <v>总主持人介绍本环节+串场</v>
      </c>
      <c r="K24" s="107"/>
      <c r="L24" s="107"/>
      <c r="M24" s="107"/>
      <c r="N24" s="108" t="str">
        <f>IF(议程编辑!$B20="","",IF(议程编辑!$N20&lt;&gt;"",议程编辑!$N20,议程编辑!$I20))</f>
        <v>4</v>
      </c>
      <c r="O24" s="109" t="str">
        <f>IF(议程编辑!$B20="","",IF(议程编辑!$P20&lt;&gt;"",议程编辑!$P20,IF(议程编辑!$K20="","待定",议程编辑!$K20)))</f>
        <v>待定</v>
      </c>
      <c r="P24" s="109"/>
    </row>
    <row r="25" spans="1:16" ht="16.5" customHeight="1">
      <c r="A25" s="117"/>
      <c r="B25" s="117"/>
      <c r="C25" s="117"/>
      <c r="D25" s="117"/>
      <c r="E25" s="117"/>
      <c r="F25" s="103" t="str">
        <f>IF(议程编辑!$B21="","",IF(18=MATCH(议程编辑!$C21,议程编辑!$C$4:$C$33,0)+INT((COUNTIF(议程编辑!$C$4:$C$33,议程编辑!$C21)-1)/2),议程编辑!$C21,""))</f>
        <v/>
      </c>
      <c r="G25" s="104" t="str">
        <f>IF(议程编辑!$B21="","",IF(18=MATCH(议程编辑!$C21,议程编辑!$C$4:$C$33,0)+INT((COUNTIF(议程编辑!$C$4:$C$33,议程编辑!$C21)-1)/2),议程编辑!$D21,""))</f>
        <v/>
      </c>
      <c r="H25" s="105"/>
      <c r="I25" s="106">
        <f>IF(议程编辑!$B21="","",议程编辑!$F21)</f>
        <v>0.86666666666666647</v>
      </c>
      <c r="J25" s="107" t="str">
        <f>IF(议程编辑!$B21="","",IF(议程编辑!$L21&lt;&gt;"",议程编辑!$L21,议程编辑!$G21)&amp;IF(IF(议程编辑!$M21&lt;&gt;"",议程编辑!$M21,议程编辑!$H21)="","",CHAR(10)&amp;IF(议程编辑!$M21&lt;&gt;"",议程编辑!$M21,议程编辑!$H21)))</f>
        <v>即兴点评</v>
      </c>
      <c r="K25" s="107"/>
      <c r="L25" s="107"/>
      <c r="M25" s="107"/>
      <c r="N25" s="108" t="str">
        <f>IF(议程编辑!$B21="","",IF(议程编辑!$N21&lt;&gt;"",议程编辑!$N21,议程编辑!$I21))</f>
        <v>8</v>
      </c>
      <c r="O25" s="109" t="str">
        <f>IF(议程编辑!$B21="","",IF(议程编辑!$P21&lt;&gt;"",议程编辑!$P21,IF(议程编辑!$K21="","待定",议程编辑!$K21)))</f>
        <v>待定</v>
      </c>
      <c r="P25" s="109"/>
    </row>
    <row r="26" spans="1:16" ht="16.5" customHeight="1">
      <c r="A26" s="117"/>
      <c r="B26" s="117"/>
      <c r="C26" s="117"/>
      <c r="D26" s="117"/>
      <c r="E26" s="117"/>
      <c r="F26" s="103" t="str">
        <f>IF(议程编辑!$B22="","",IF(19=MATCH(议程编辑!$C22,议程编辑!$C$4:$C$33,0)+INT((COUNTIF(议程编辑!$C$4:$C$33,议程编辑!$C22)-1)/2),议程编辑!$C22,""))</f>
        <v/>
      </c>
      <c r="G26" s="104" t="str">
        <f>IF(议程编辑!$B22="","",IF(19=MATCH(议程编辑!$C22,议程编辑!$C$4:$C$33,0)+INT((COUNTIF(议程编辑!$C$4:$C$33,议程编辑!$C22)-1)/2),议程编辑!$D22,""))</f>
        <v/>
      </c>
      <c r="H26" s="105"/>
      <c r="I26" s="106">
        <f>IF(议程编辑!$B22="","",议程编辑!$F22)</f>
        <v>0.87222222222222201</v>
      </c>
      <c r="J26" s="107" t="str">
        <f>IF(议程编辑!$B22="","",IF(议程编辑!$L22&lt;&gt;"",议程编辑!$L22,议程编辑!$G22)&amp;IF(IF(议程编辑!$M22&lt;&gt;"",议程编辑!$M22,议程编辑!$H22)="","",CHAR(10)&amp;IF(议程编辑!$M22&lt;&gt;"",议程编辑!$M22,议程编辑!$H22)))</f>
        <v>备稿点评1</v>
      </c>
      <c r="K26" s="107"/>
      <c r="L26" s="107"/>
      <c r="M26" s="107"/>
      <c r="N26" s="108" t="str">
        <f>IF(议程编辑!$B22="","",IF(议程编辑!$N22&lt;&gt;"",议程编辑!$N22,议程编辑!$I22))</f>
        <v>3</v>
      </c>
      <c r="O26" s="109" t="str">
        <f>IF(议程编辑!$B22="","",IF(议程编辑!$P22&lt;&gt;"",议程编辑!$P22,IF(议程编辑!$K22="","待定",议程编辑!$K22)))</f>
        <v>待定</v>
      </c>
      <c r="P26" s="109"/>
    </row>
    <row r="27" spans="1:16" ht="16.5" customHeight="1">
      <c r="A27" s="117"/>
      <c r="B27" s="117"/>
      <c r="C27" s="117"/>
      <c r="D27" s="117"/>
      <c r="E27" s="117"/>
      <c r="F27" s="103">
        <f>IF(议程编辑!$B23="","",IF(20=MATCH(议程编辑!$C23,议程编辑!$C$4:$C$33,0)+INT((COUNTIF(议程编辑!$C$4:$C$33,议程编辑!$C23)-1)/2),议程编辑!$C23,""))</f>
        <v>4</v>
      </c>
      <c r="G27" s="104" t="str">
        <f>IF(议程编辑!$B23="","",IF(20=MATCH(议程编辑!$C23,议程编辑!$C$4:$C$33,0)+INT((COUNTIF(议程编辑!$C$4:$C$33,议程编辑!$C23)-1)/2),议程编辑!$D23,""))</f>
        <v>茶歇&amp;会议反馈环节</v>
      </c>
      <c r="H27" s="105"/>
      <c r="I27" s="106">
        <f>IF(议程编辑!$B23="","",议程编辑!$F23)</f>
        <v>0.87430555555555534</v>
      </c>
      <c r="J27" s="107" t="str">
        <f>IF(议程编辑!$B23="","",IF(议程编辑!$L23&lt;&gt;"",议程编辑!$L23,议程编辑!$G23)&amp;IF(IF(议程编辑!$M23&lt;&gt;"",议程编辑!$M23,议程编辑!$H23)="","",CHAR(10)&amp;IF(议程编辑!$M23&lt;&gt;"",议程编辑!$M23,议程编辑!$H23)))</f>
        <v>备稿点评2</v>
      </c>
      <c r="K27" s="107"/>
      <c r="L27" s="107"/>
      <c r="M27" s="107"/>
      <c r="N27" s="108" t="str">
        <f>IF(议程编辑!$B23="","",IF(议程编辑!$N23&lt;&gt;"",议程编辑!$N23,议程编辑!$I23))</f>
        <v>3</v>
      </c>
      <c r="O27" s="109" t="str">
        <f>IF(议程编辑!$B23="","",IF(议程编辑!$P23&lt;&gt;"",议程编辑!$P23,IF(议程编辑!$K23="","待定",议程编辑!$K23)))</f>
        <v>待定</v>
      </c>
      <c r="P27" s="109"/>
    </row>
    <row r="28" spans="1:16" ht="16.5" customHeight="1">
      <c r="A28" s="117"/>
      <c r="B28" s="117"/>
      <c r="C28" s="117"/>
      <c r="D28" s="117"/>
      <c r="E28" s="117"/>
      <c r="F28" s="103" t="str">
        <f>IF(议程编辑!$B24="","",IF(21=MATCH(议程编辑!$C24,议程编辑!$C$4:$C$33,0)+INT((COUNTIF(议程编辑!$C$4:$C$33,议程编辑!$C24)-1)/2),议程编辑!$C24,""))</f>
        <v/>
      </c>
      <c r="G28" s="104" t="str">
        <f>IF(议程编辑!$B24="","",IF(21=MATCH(议程编辑!$C24,议程编辑!$C$4:$C$33,0)+INT((COUNTIF(议程编辑!$C$4:$C$33,议程编辑!$C24)-1)/2),议程编辑!$D24,""))</f>
        <v/>
      </c>
      <c r="H28" s="105"/>
      <c r="I28" s="106">
        <f>IF(议程编辑!$B24="","",议程编辑!$F24)</f>
        <v>0.87638888888888866</v>
      </c>
      <c r="J28" s="107" t="str">
        <f>IF(议程编辑!$B24="","",IF(议程编辑!$L24&lt;&gt;"",议程编辑!$L24,议程编辑!$G24)&amp;IF(IF(议程编辑!$M24&lt;&gt;"",议程编辑!$M24,议程编辑!$H24)="","",CHAR(10)&amp;IF(议程编辑!$M24&lt;&gt;"",议程编辑!$M24,议程编辑!$H24)))</f>
        <v>语法官报告</v>
      </c>
      <c r="K28" s="107"/>
      <c r="L28" s="107"/>
      <c r="M28" s="107"/>
      <c r="N28" s="108" t="str">
        <f>IF(议程编辑!$B24="","",IF(议程编辑!$N24&lt;&gt;"",议程编辑!$N24,议程编辑!$I24))</f>
        <v>3</v>
      </c>
      <c r="O28" s="109" t="str">
        <f>IF(议程编辑!$B24="","",IF(议程编辑!$P24&lt;&gt;"",议程编辑!$P24,IF(议程编辑!$K24="","待定",议程编辑!$K24)))</f>
        <v>待定</v>
      </c>
      <c r="P28" s="109"/>
    </row>
    <row r="29" spans="1:16" ht="16.5" customHeight="1">
      <c r="A29" s="118" t="s">
        <v>58</v>
      </c>
      <c r="B29" s="118" t="s">
        <v>58</v>
      </c>
      <c r="C29" s="118" t="s">
        <v>59</v>
      </c>
      <c r="D29" s="118" t="s">
        <v>59</v>
      </c>
      <c r="E29" s="118" t="s">
        <v>59</v>
      </c>
      <c r="F29" s="103" t="str">
        <f>IF(议程编辑!$B25="","",IF(22=MATCH(议程编辑!$C25,议程编辑!$C$4:$C$33,0)+INT((COUNTIF(议程编辑!$C$4:$C$33,议程编辑!$C25)-1)/2),议程编辑!$C25,""))</f>
        <v/>
      </c>
      <c r="G29" s="104" t="str">
        <f>IF(议程编辑!$B25="","",IF(22=MATCH(议程编辑!$C25,议程编辑!$C$4:$C$33,0)+INT((COUNTIF(议程编辑!$C$4:$C$33,议程编辑!$C25)-1)/2),议程编辑!$D25,""))</f>
        <v/>
      </c>
      <c r="H29" s="105"/>
      <c r="I29" s="106">
        <f>IF(议程编辑!$B25="","",议程编辑!$F25)</f>
        <v>0.87847222222222199</v>
      </c>
      <c r="J29" s="107" t="str">
        <f>IF(议程编辑!$B25="","",IF(议程编辑!$L25&lt;&gt;"",议程编辑!$L25,议程编辑!$G25)&amp;IF(IF(议程编辑!$M25&lt;&gt;"",议程编辑!$M25,议程编辑!$H25)="","",CHAR(10)&amp;IF(议程编辑!$M25&lt;&gt;"",议程编辑!$M25,议程编辑!$H25)))</f>
        <v>哼哈官报告</v>
      </c>
      <c r="K29" s="107"/>
      <c r="L29" s="107"/>
      <c r="M29" s="107"/>
      <c r="N29" s="108" t="str">
        <f>IF(议程编辑!$B25="","",IF(议程编辑!$N25&lt;&gt;"",议程编辑!$N25,议程编辑!$I25))</f>
        <v>3</v>
      </c>
      <c r="O29" s="109" t="str">
        <f>IF(议程编辑!$B25="","",IF(议程编辑!$P25&lt;&gt;"",议程编辑!$P25,IF(议程编辑!$K25="","待定",议程编辑!$K25)))</f>
        <v>待定</v>
      </c>
      <c r="P29" s="109"/>
    </row>
    <row r="30" spans="1:16" ht="16.5" customHeight="1">
      <c r="A30" s="117"/>
      <c r="B30" s="117"/>
      <c r="C30" s="117"/>
      <c r="D30" s="117"/>
      <c r="E30" s="117"/>
      <c r="F30" s="103" t="str">
        <f>IF(议程编辑!$B26="","",IF(23=MATCH(议程编辑!$C26,议程编辑!$C$4:$C$33,0)+INT((COUNTIF(议程编辑!$C$4:$C$33,议程编辑!$C26)-1)/2),议程编辑!$C26,""))</f>
        <v/>
      </c>
      <c r="G30" s="104" t="str">
        <f>IF(议程编辑!$B26="","",IF(23=MATCH(议程编辑!$C26,议程编辑!$C$4:$C$33,0)+INT((COUNTIF(议程编辑!$C$4:$C$33,议程编辑!$C26)-1)/2),议程编辑!$D26,""))</f>
        <v/>
      </c>
      <c r="H30" s="105"/>
      <c r="I30" s="106">
        <f>IF(议程编辑!$B26="","",议程编辑!$F26)</f>
        <v>0.88055555555555531</v>
      </c>
      <c r="J30" s="107" t="str">
        <f>IF(议程编辑!$B26="","",IF(议程编辑!$L26&lt;&gt;"",议程编辑!$L26,议程编辑!$G26)&amp;IF(IF(议程编辑!$M26&lt;&gt;"",议程编辑!$M26,议程编辑!$H26)="","",CHAR(10)&amp;IF(议程编辑!$M26&lt;&gt;"",议程编辑!$M26,议程编辑!$H26)))</f>
        <v>时间官报告</v>
      </c>
      <c r="K30" s="107"/>
      <c r="L30" s="107"/>
      <c r="M30" s="107"/>
      <c r="N30" s="108" t="str">
        <f>IF(议程编辑!$B26="","",IF(议程编辑!$N26&lt;&gt;"",议程编辑!$N26,议程编辑!$I26))</f>
        <v>3</v>
      </c>
      <c r="O30" s="109" t="str">
        <f>IF(议程编辑!$B26="","",IF(议程编辑!$P26&lt;&gt;"",议程编辑!$P26,IF(议程编辑!$K26="","待定",议程编辑!$K26)))</f>
        <v>待定</v>
      </c>
      <c r="P30" s="109"/>
    </row>
    <row r="31" spans="1:16" ht="16.5" customHeight="1">
      <c r="A31" s="116" t="s">
        <v>60</v>
      </c>
      <c r="B31" s="116" t="s">
        <v>60</v>
      </c>
      <c r="C31" s="116" t="s">
        <v>60</v>
      </c>
      <c r="D31" s="116" t="s">
        <v>60</v>
      </c>
      <c r="E31" s="116" t="s">
        <v>60</v>
      </c>
      <c r="F31" s="103" t="str">
        <f>IF(议程编辑!$B27="","",IF(24=MATCH(议程编辑!$C27,议程编辑!$C$4:$C$33,0)+INT((COUNTIF(议程编辑!$C$4:$C$33,议程编辑!$C27)-1)/2),议程编辑!$C27,""))</f>
        <v/>
      </c>
      <c r="G31" s="104" t="str">
        <f>IF(议程编辑!$B27="","",IF(24=MATCH(议程编辑!$C27,议程编辑!$C$4:$C$33,0)+INT((COUNTIF(议程编辑!$C$4:$C$33,议程编辑!$C27)-1)/2),议程编辑!$D27,""))</f>
        <v/>
      </c>
      <c r="H31" s="105"/>
      <c r="I31" s="106">
        <f>IF(议程编辑!$B27="","",议程编辑!$F27)</f>
        <v>0.88263888888888864</v>
      </c>
      <c r="J31" s="107" t="str">
        <f>IF(议程编辑!$B27="","",IF(议程编辑!$L27&lt;&gt;"",议程编辑!$L27,议程编辑!$G27)&amp;IF(IF(议程编辑!$M27&lt;&gt;"",议程编辑!$M27,议程编辑!$H27)="","",CHAR(10)&amp;IF(议程编辑!$M27&lt;&gt;"",议程编辑!$M27,议程编辑!$H27)))</f>
        <v>电子投票</v>
      </c>
      <c r="K31" s="107"/>
      <c r="L31" s="107"/>
      <c r="M31" s="107"/>
      <c r="N31" s="108" t="str">
        <f>IF(议程编辑!$B27="","",IF(议程编辑!$N27&lt;&gt;"",议程编辑!$N27,议程编辑!$I27))</f>
        <v>1</v>
      </c>
      <c r="O31" s="109" t="str">
        <f>IF(议程编辑!$B27="","",IF(议程编辑!$P27&lt;&gt;"",议程编辑!$P27,IF(议程编辑!$K27="","待定",议程编辑!$K27)))</f>
        <v>待定</v>
      </c>
      <c r="P31" s="109"/>
    </row>
    <row r="32" spans="1:16" ht="16.5" customHeight="1">
      <c r="A32" s="100" t="str">
        <f>基础资料!$B$16</f>
        <v>President会长：贾燕微
VPE 教育副会长：莫婷
VPM 会员副会长：Jessica
VPPR 公关副会长：史迪仔
Secretary 秘书：女侠
Treasurer 财务：聪聪
Sergeant at Arms 接待官：Venus Deng斯敏</v>
      </c>
      <c r="B32" s="101"/>
      <c r="C32" s="101"/>
      <c r="D32" s="101"/>
      <c r="E32" s="102"/>
      <c r="F32" s="103" t="str">
        <f>IF(议程编辑!$B28="","",IF(25=MATCH(议程编辑!$C28,议程编辑!$C$4:$C$33,0)+INT((COUNTIF(议程编辑!$C$4:$C$33,议程编辑!$C28)-1)/2),议程编辑!$C28,""))</f>
        <v/>
      </c>
      <c r="G32" s="104" t="str">
        <f>IF(议程编辑!$B28="","",IF(25=MATCH(议程编辑!$C28,议程编辑!$C$4:$C$33,0)+INT((COUNTIF(议程编辑!$C$4:$C$33,议程编辑!$C28)-1)/2),议程编辑!$D28,""))</f>
        <v/>
      </c>
      <c r="H32" s="105"/>
      <c r="I32" s="106">
        <f>IF(议程编辑!$B28="","",议程编辑!$F28)</f>
        <v>0.88333333333333308</v>
      </c>
      <c r="J32" s="107" t="str">
        <f>IF(议程编辑!$B28="","",IF(议程编辑!$L28&lt;&gt;"",议程编辑!$L28,议程编辑!$G28)&amp;IF(IF(议程编辑!$M28&lt;&gt;"",议程编辑!$M28,议程编辑!$H28)="","",CHAR(10)&amp;IF(议程编辑!$M28&lt;&gt;"",议程编辑!$M28,议程编辑!$H28)))</f>
        <v>总点评</v>
      </c>
      <c r="K32" s="107"/>
      <c r="L32" s="107"/>
      <c r="M32" s="107"/>
      <c r="N32" s="108" t="str">
        <f>IF(议程编辑!$B28="","",IF(议程编辑!$N28&lt;&gt;"",议程编辑!$N28,议程编辑!$I28))</f>
        <v>8</v>
      </c>
      <c r="O32" s="109" t="str">
        <f>IF(议程编辑!$B28="","",IF(议程编辑!$P28&lt;&gt;"",议程编辑!$P28,IF(议程编辑!$K28="","待定",议程编辑!$K28)))</f>
        <v>待定</v>
      </c>
      <c r="P32" s="109"/>
    </row>
    <row r="33" spans="1:16" ht="16.5" customHeight="1">
      <c r="A33" s="110"/>
      <c r="B33" s="111"/>
      <c r="C33" s="111"/>
      <c r="D33" s="111"/>
      <c r="E33" s="112"/>
      <c r="F33" s="103">
        <f>IF(议程编辑!$B29="","",IF(26=MATCH(议程编辑!$C29,议程编辑!$C$4:$C$33,0)+INT((COUNTIF(议程编辑!$C$4:$C$33,议程编辑!$C29)-1)/2),议程编辑!$C29,""))</f>
        <v>5</v>
      </c>
      <c r="G33" s="104" t="str">
        <f>IF(议程编辑!$B29="","",IF(26=MATCH(议程编辑!$C29,议程编辑!$C$4:$C$33,0)+INT((COUNTIF(议程编辑!$C$4:$C$33,议程编辑!$C29)-1)/2),议程编辑!$D29,""))</f>
        <v>分享环节</v>
      </c>
      <c r="H33" s="105"/>
      <c r="I33" s="106">
        <f>IF(议程编辑!$B29="","",议程编辑!$F29)</f>
        <v>0.88888888888888862</v>
      </c>
      <c r="J33" s="107" t="str">
        <f>IF(议程编辑!$B29="","",IF(议程编辑!$L29&lt;&gt;"",议程编辑!$L29,议程编辑!$G29)&amp;IF(IF(议程编辑!$M29&lt;&gt;"",议程编辑!$M29,议程编辑!$H29)="","",CHAR(10)&amp;IF(议程编辑!$M29&lt;&gt;"",议程编辑!$M29,议程编辑!$H29)))</f>
        <v>颁奖&amp;真情分享</v>
      </c>
      <c r="K33" s="107"/>
      <c r="L33" s="107"/>
      <c r="M33" s="107"/>
      <c r="N33" s="108" t="str">
        <f>IF(议程编辑!$B29="","",IF(议程编辑!$N29&lt;&gt;"",议程编辑!$N29,议程编辑!$I29))</f>
        <v>5</v>
      </c>
      <c r="O33" s="109" t="str">
        <f>IF(议程编辑!$B29="","",IF(议程编辑!$P29&lt;&gt;"",议程编辑!$P29,IF(议程编辑!$K29="","待定",议程编辑!$K29)))</f>
        <v>待定</v>
      </c>
      <c r="P33" s="109"/>
    </row>
    <row r="34" spans="1:16" ht="16.5" customHeight="1">
      <c r="A34" s="110"/>
      <c r="B34" s="111"/>
      <c r="C34" s="111"/>
      <c r="D34" s="111"/>
      <c r="E34" s="112"/>
      <c r="F34" s="103" t="str">
        <f>IF(议程编辑!$B30="","",IF(27=MATCH(议程编辑!$C30,议程编辑!$C$4:$C$33,0)+INT((COUNTIF(议程编辑!$C$4:$C$33,议程编辑!$C30)-1)/2),议程编辑!$C30,""))</f>
        <v/>
      </c>
      <c r="G34" s="104" t="str">
        <f>IF(议程编辑!$B30="","",IF(27=MATCH(议程编辑!$C30,议程编辑!$C$4:$C$33,0)+INT((COUNTIF(议程编辑!$C$4:$C$33,议程编辑!$C30)-1)/2),议程编辑!$D30,""))</f>
        <v/>
      </c>
      <c r="H34" s="105"/>
      <c r="I34" s="106">
        <f>IF(议程编辑!$B30="","",议程编辑!$F30)</f>
        <v>0.89236111111111083</v>
      </c>
      <c r="J34" s="107" t="str">
        <f>IF(议程编辑!$B30="","",IF(议程编辑!$L30&lt;&gt;"",议程编辑!$L30,议程编辑!$G30)&amp;IF(IF(议程编辑!$M30&lt;&gt;"",议程编辑!$M30,议程编辑!$H30)="","",CHAR(10)&amp;IF(议程编辑!$M30&lt;&gt;"",议程编辑!$M30,议程编辑!$H30)))</f>
        <v>主席总结本期活动，结束会议</v>
      </c>
      <c r="K34" s="107"/>
      <c r="L34" s="107"/>
      <c r="M34" s="107"/>
      <c r="N34" s="108" t="str">
        <f>IF(议程编辑!$B30="","",IF(议程编辑!$N30&lt;&gt;"",议程编辑!$N30,议程编辑!$I30))</f>
        <v>1</v>
      </c>
      <c r="O34" s="109" t="str">
        <f>IF(议程编辑!$B30="","",IF(议程编辑!$P30&lt;&gt;"",议程编辑!$P30,IF(议程编辑!$K30="","待定",议程编辑!$K30)))</f>
        <v>待定</v>
      </c>
      <c r="P34" s="109"/>
    </row>
    <row r="35" spans="1:16" ht="16.5" customHeight="1">
      <c r="A35" s="110"/>
      <c r="B35" s="111"/>
      <c r="C35" s="111"/>
      <c r="D35" s="111"/>
      <c r="E35" s="112"/>
      <c r="F35" s="103" t="str">
        <f>IF(议程编辑!$B31="","",IF(28=MATCH(议程编辑!$C31,议程编辑!$C$4:$C$33,0)+INT((COUNTIF(议程编辑!$C$4:$C$33,议程编辑!$C31)-1)/2),议程编辑!$C31,""))</f>
        <v/>
      </c>
      <c r="G35" s="104" t="str">
        <f>IF(议程编辑!$B31="","",IF(28=MATCH(议程编辑!$C31,议程编辑!$C$4:$C$33,0)+INT((COUNTIF(议程编辑!$C$4:$C$33,议程编辑!$C31)-1)/2),议程编辑!$D31,""))</f>
        <v/>
      </c>
      <c r="H35" s="105"/>
      <c r="I35" s="106" t="str">
        <f>IF(议程编辑!$B31="","",议程编辑!$F31)</f>
        <v/>
      </c>
      <c r="J35" s="107" t="str">
        <f>IF(议程编辑!$B31="","",IF(议程编辑!$L31&lt;&gt;"",议程编辑!$L31,议程编辑!$G31)&amp;IF(IF(议程编辑!$M31&lt;&gt;"",议程编辑!$M31,议程编辑!$H31)="","",CHAR(10)&amp;IF(议程编辑!$M31&lt;&gt;"",议程编辑!$M31,议程编辑!$H31)))</f>
        <v/>
      </c>
      <c r="K35" s="107"/>
      <c r="L35" s="107"/>
      <c r="M35" s="107"/>
      <c r="N35" s="108" t="str">
        <f>IF(议程编辑!$B31="","",IF(议程编辑!$N31&lt;&gt;"",议程编辑!$N31,议程编辑!$I31))</f>
        <v/>
      </c>
      <c r="O35" s="109" t="str">
        <f>IF(议程编辑!$B31="","",IF(议程编辑!$P31&lt;&gt;"",议程编辑!$P31,IF(议程编辑!$K31="","待定",议程编辑!$K31)))</f>
        <v/>
      </c>
      <c r="P35" s="109"/>
    </row>
    <row r="36" spans="1:16" ht="16.5" customHeight="1">
      <c r="A36" s="110"/>
      <c r="B36" s="111"/>
      <c r="C36" s="111"/>
      <c r="D36" s="111"/>
      <c r="E36" s="112"/>
      <c r="F36" s="103" t="str">
        <f>IF(议程编辑!$B32="","",IF(29=MATCH(议程编辑!$C32,议程编辑!$C$4:$C$33,0)+INT((COUNTIF(议程编辑!$C$4:$C$33,议程编辑!$C32)-1)/2),议程编辑!$C32,""))</f>
        <v/>
      </c>
      <c r="G36" s="104" t="str">
        <f>IF(议程编辑!$B32="","",IF(29=MATCH(议程编辑!$C32,议程编辑!$C$4:$C$33,0)+INT((COUNTIF(议程编辑!$C$4:$C$33,议程编辑!$C32)-1)/2),议程编辑!$D32,""))</f>
        <v/>
      </c>
      <c r="H36" s="105"/>
      <c r="I36" s="106" t="str">
        <f>IF(议程编辑!$B32="","",议程编辑!$F32)</f>
        <v/>
      </c>
      <c r="J36" s="107" t="str">
        <f>IF(议程编辑!$B32="","",IF(议程编辑!$L32&lt;&gt;"",议程编辑!$L32,议程编辑!$G32)&amp;IF(IF(议程编辑!$M32&lt;&gt;"",议程编辑!$M32,议程编辑!$H32)="","",CHAR(10)&amp;IF(议程编辑!$M32&lt;&gt;"",议程编辑!$M32,议程编辑!$H32)))</f>
        <v/>
      </c>
      <c r="K36" s="107"/>
      <c r="L36" s="107"/>
      <c r="M36" s="107"/>
      <c r="N36" s="108" t="str">
        <f>IF(议程编辑!$B32="","",IF(议程编辑!$N32&lt;&gt;"",议程编辑!$N32,议程编辑!$I32))</f>
        <v/>
      </c>
      <c r="O36" s="109" t="str">
        <f>IF(议程编辑!$B32="","",IF(议程编辑!$P32&lt;&gt;"",议程编辑!$P32,IF(议程编辑!$K32="","待定",议程编辑!$K32)))</f>
        <v/>
      </c>
      <c r="P36" s="109"/>
    </row>
    <row r="37" spans="1:16" ht="16.5" customHeight="1">
      <c r="A37" s="110"/>
      <c r="B37" s="111"/>
      <c r="C37" s="111"/>
      <c r="D37" s="111"/>
      <c r="E37" s="112"/>
      <c r="F37" s="103" t="str">
        <f>IF(议程编辑!$B33="","",IF(30=MATCH(议程编辑!$C33,议程编辑!$C$4:$C$33,0)+INT((COUNTIF(议程编辑!$C$4:$C$33,议程编辑!$C33)-1)/2),议程编辑!$C33,""))</f>
        <v/>
      </c>
      <c r="G37" s="104" t="str">
        <f>IF(议程编辑!$B33="","",IF(30=MATCH(议程编辑!$C33,议程编辑!$C$4:$C$33,0)+INT((COUNTIF(议程编辑!$C$4:$C$33,议程编辑!$C33)-1)/2),议程编辑!$D33,""))</f>
        <v/>
      </c>
      <c r="H37" s="105"/>
      <c r="I37" s="106" t="str">
        <f>IF(议程编辑!$B33="","",议程编辑!$F33)</f>
        <v/>
      </c>
      <c r="J37" s="107" t="str">
        <f>IF(议程编辑!$B33="","",IF(议程编辑!$L33&lt;&gt;"",议程编辑!$L33,议程编辑!$G33)&amp;IF(IF(议程编辑!$M33&lt;&gt;"",议程编辑!$M33,议程编辑!$H33)="","",CHAR(10)&amp;IF(议程编辑!$M33&lt;&gt;"",议程编辑!$M33,议程编辑!$H33)))</f>
        <v/>
      </c>
      <c r="K37" s="107"/>
      <c r="L37" s="107"/>
      <c r="M37" s="107"/>
      <c r="N37" s="108" t="str">
        <f>IF(议程编辑!$B33="","",IF(议程编辑!$N33&lt;&gt;"",议程编辑!$N33,议程编辑!$I33))</f>
        <v/>
      </c>
      <c r="O37" s="109" t="str">
        <f>IF(议程编辑!$B33="","",IF(议程编辑!$P33&lt;&gt;"",议程编辑!$P33,IF(议程编辑!$K33="","待定",议程编辑!$K33)))</f>
        <v/>
      </c>
      <c r="P37" s="109"/>
    </row>
    <row r="38" spans="1:16" ht="14.4">
      <c r="A38" s="113"/>
      <c r="B38" s="114"/>
      <c r="C38" s="114"/>
      <c r="D38" s="114"/>
      <c r="E38" s="115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</row>
    <row r="39" spans="1:16" ht="15.6">
      <c r="A39" s="97" t="s">
        <v>61</v>
      </c>
      <c r="B39" s="97" t="s">
        <v>61</v>
      </c>
      <c r="C39" s="97" t="s">
        <v>61</v>
      </c>
      <c r="D39" s="97" t="s">
        <v>61</v>
      </c>
      <c r="E39" s="97" t="s">
        <v>61</v>
      </c>
      <c r="F39" s="119" t="str">
        <f>IF(SUM(议程编辑!$S$4:$S$63)&gt;30,"议程超过30项，请同时打印 A4续页。","首页容量正常（最多30项）。")</f>
        <v>首页容量正常（最多30项）。</v>
      </c>
      <c r="G39" s="120"/>
      <c r="H39" s="120"/>
      <c r="I39" s="120"/>
      <c r="J39" s="120"/>
      <c r="K39" s="120"/>
      <c r="L39" s="120"/>
      <c r="M39" s="120"/>
      <c r="N39" s="120"/>
      <c r="O39" s="120"/>
      <c r="P39" s="121"/>
    </row>
    <row r="40" spans="1:16">
      <c r="A40" s="100" t="str">
        <f>"主题："&amp;基础资料!$B$18&amp;CHAR(10)&amp;"日期："&amp;基础资料!$B$19</f>
        <v>主题：人生暂停5分钟
日期：2026-07-07</v>
      </c>
      <c r="B40" s="101"/>
      <c r="C40" s="101"/>
      <c r="D40" s="101"/>
      <c r="E40" s="102"/>
      <c r="F40" s="122"/>
      <c r="G40" s="123"/>
      <c r="H40" s="123"/>
      <c r="I40" s="123"/>
      <c r="J40" s="123"/>
      <c r="K40" s="123"/>
      <c r="L40" s="123"/>
      <c r="M40" s="123"/>
      <c r="N40" s="123"/>
      <c r="O40" s="123"/>
      <c r="P40" s="124"/>
    </row>
    <row r="41" spans="1:16">
      <c r="A41" s="110"/>
      <c r="B41" s="111"/>
      <c r="C41" s="111"/>
      <c r="D41" s="111"/>
      <c r="E41" s="112"/>
      <c r="F41" s="122"/>
      <c r="G41" s="123"/>
      <c r="H41" s="123"/>
      <c r="I41" s="123"/>
      <c r="J41" s="123"/>
      <c r="K41" s="123"/>
      <c r="L41" s="123"/>
      <c r="M41" s="123"/>
      <c r="N41" s="123"/>
      <c r="O41" s="123"/>
      <c r="P41" s="124"/>
    </row>
    <row r="42" spans="1:16">
      <c r="A42" s="113"/>
      <c r="B42" s="114"/>
      <c r="C42" s="114"/>
      <c r="D42" s="114"/>
      <c r="E42" s="115"/>
      <c r="F42" s="125"/>
      <c r="G42" s="126"/>
      <c r="H42" s="126"/>
      <c r="I42" s="126"/>
      <c r="J42" s="126"/>
      <c r="K42" s="126"/>
      <c r="L42" s="126"/>
      <c r="M42" s="126"/>
      <c r="N42" s="126"/>
      <c r="O42" s="126"/>
      <c r="P42" s="127"/>
    </row>
    <row r="43" spans="1:16" ht="14.4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</row>
    <row r="44" spans="1:16" ht="16.5" customHeight="1">
      <c r="A44" s="128" t="str">
        <f>基础资料!$B$20&amp;CHAR(10)&amp;基础资料!$B$17</f>
        <v>【来宾介绍】 【即兴演讲】 【话题分词】
无需经验，欢迎第一次参加
会议愿景：很开心与大家建立一种愉悦的学习旅程，谢谢大家~</v>
      </c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30"/>
      <c r="N44" s="131"/>
      <c r="O44" s="132"/>
      <c r="P44" s="133"/>
    </row>
    <row r="45" spans="1:16" ht="16.5" customHeight="1">
      <c r="A45" s="134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6"/>
      <c r="N45" s="137"/>
      <c r="O45" s="138"/>
      <c r="P45" s="139"/>
    </row>
    <row r="46" spans="1:16" ht="16.5" customHeight="1">
      <c r="A46" s="134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6"/>
      <c r="N46" s="137"/>
      <c r="O46" s="138"/>
      <c r="P46" s="139"/>
    </row>
    <row r="47" spans="1:16" ht="16.5" customHeight="1">
      <c r="A47" s="134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6"/>
      <c r="N47" s="137"/>
      <c r="O47" s="138"/>
      <c r="P47" s="139"/>
    </row>
    <row r="48" spans="1:16" ht="16.5" customHeight="1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2"/>
      <c r="N48" s="143"/>
      <c r="O48" s="144"/>
      <c r="P48" s="145"/>
    </row>
  </sheetData>
  <sheetProtection sheet="1" scenarios="1"/>
  <mergeCells count="115">
    <mergeCell ref="G37:H37"/>
    <mergeCell ref="J37:M37"/>
    <mergeCell ref="O37:P37"/>
    <mergeCell ref="A44:M48"/>
    <mergeCell ref="N44:P48"/>
    <mergeCell ref="F39:P42"/>
    <mergeCell ref="G35:H35"/>
    <mergeCell ref="J35:M35"/>
    <mergeCell ref="O35:P35"/>
    <mergeCell ref="G36:H36"/>
    <mergeCell ref="J36:M36"/>
    <mergeCell ref="O36:P36"/>
    <mergeCell ref="G33:H33"/>
    <mergeCell ref="J33:M33"/>
    <mergeCell ref="O33:P33"/>
    <mergeCell ref="G34:H34"/>
    <mergeCell ref="J34:M34"/>
    <mergeCell ref="O34:P34"/>
    <mergeCell ref="G31:H31"/>
    <mergeCell ref="J31:M31"/>
    <mergeCell ref="O31:P31"/>
    <mergeCell ref="G32:H32"/>
    <mergeCell ref="J32:M32"/>
    <mergeCell ref="O32:P32"/>
    <mergeCell ref="G29:H29"/>
    <mergeCell ref="J29:M29"/>
    <mergeCell ref="O29:P29"/>
    <mergeCell ref="G30:H30"/>
    <mergeCell ref="J30:M30"/>
    <mergeCell ref="O30:P30"/>
    <mergeCell ref="G27:H27"/>
    <mergeCell ref="J27:M27"/>
    <mergeCell ref="O27:P27"/>
    <mergeCell ref="G28:H28"/>
    <mergeCell ref="J28:M28"/>
    <mergeCell ref="O28:P28"/>
    <mergeCell ref="G25:H25"/>
    <mergeCell ref="J25:M25"/>
    <mergeCell ref="O25:P25"/>
    <mergeCell ref="G26:H26"/>
    <mergeCell ref="J26:M26"/>
    <mergeCell ref="O26:P26"/>
    <mergeCell ref="G23:H23"/>
    <mergeCell ref="J23:M23"/>
    <mergeCell ref="O23:P23"/>
    <mergeCell ref="G24:H24"/>
    <mergeCell ref="J24:M24"/>
    <mergeCell ref="O24:P24"/>
    <mergeCell ref="G21:H21"/>
    <mergeCell ref="J21:M21"/>
    <mergeCell ref="O21:P21"/>
    <mergeCell ref="G22:H22"/>
    <mergeCell ref="J22:M22"/>
    <mergeCell ref="O22:P22"/>
    <mergeCell ref="G19:H19"/>
    <mergeCell ref="J19:M19"/>
    <mergeCell ref="O19:P19"/>
    <mergeCell ref="G20:H20"/>
    <mergeCell ref="J20:M20"/>
    <mergeCell ref="O20:P20"/>
    <mergeCell ref="G17:H17"/>
    <mergeCell ref="J17:M17"/>
    <mergeCell ref="O17:P17"/>
    <mergeCell ref="G18:H18"/>
    <mergeCell ref="J18:M18"/>
    <mergeCell ref="O18:P18"/>
    <mergeCell ref="G15:H15"/>
    <mergeCell ref="J15:M15"/>
    <mergeCell ref="O15:P15"/>
    <mergeCell ref="G16:H16"/>
    <mergeCell ref="J16:M16"/>
    <mergeCell ref="O16:P16"/>
    <mergeCell ref="A32:E38"/>
    <mergeCell ref="A39:E39"/>
    <mergeCell ref="A40:E42"/>
    <mergeCell ref="F7:H7"/>
    <mergeCell ref="J7:M7"/>
    <mergeCell ref="G8:H8"/>
    <mergeCell ref="J8:M8"/>
    <mergeCell ref="G9:H9"/>
    <mergeCell ref="J9:M9"/>
    <mergeCell ref="G10:H10"/>
    <mergeCell ref="J10:M10"/>
    <mergeCell ref="G11:H11"/>
    <mergeCell ref="J11:M11"/>
    <mergeCell ref="G12:H12"/>
    <mergeCell ref="J12:M12"/>
    <mergeCell ref="G13:H13"/>
    <mergeCell ref="A15:E19"/>
    <mergeCell ref="A20:E20"/>
    <mergeCell ref="A29:B29"/>
    <mergeCell ref="C29:E29"/>
    <mergeCell ref="A31:E31"/>
    <mergeCell ref="A5:P5"/>
    <mergeCell ref="A6:P6"/>
    <mergeCell ref="A7:E7"/>
    <mergeCell ref="A8:E13"/>
    <mergeCell ref="A14:E14"/>
    <mergeCell ref="O7:P7"/>
    <mergeCell ref="O8:P8"/>
    <mergeCell ref="O9:P9"/>
    <mergeCell ref="O10:P10"/>
    <mergeCell ref="O11:P11"/>
    <mergeCell ref="O12:P12"/>
    <mergeCell ref="J13:M13"/>
    <mergeCell ref="O13:P13"/>
    <mergeCell ref="G14:H14"/>
    <mergeCell ref="J14:M14"/>
    <mergeCell ref="O14:P14"/>
    <mergeCell ref="A1:B2"/>
    <mergeCell ref="C1:P2"/>
    <mergeCell ref="A3:P3"/>
    <mergeCell ref="A4:H4"/>
    <mergeCell ref="I4:L4"/>
    <mergeCell ref="M4:P4"/>
  </mergeCells>
  <phoneticPr fontId="20" type="noConversion"/>
  <conditionalFormatting sqref="O8:P37">
    <cfRule type="containsText" dxfId="4" priority="4" operator="containsText" text="待定"/>
  </conditionalFormatting>
  <printOptions horizontalCentered="1"/>
  <pageMargins left="0.4724409448818897" right="0.4724409448818897" top="0.4724409448818897" bottom="0.4724409448818897" header="0" footer="0"/>
  <pageSetup paperSize="9" scale="97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200-000001000000}">
            <xm:f>议程编辑!$E4="impromptu"</xm:f>
            <x14:dxf>
              <fill>
                <patternFill patternType="solid">
                  <bgColor rgb="FFEDF4FA"/>
                </patternFill>
              </fill>
            </x14:dxf>
          </x14:cfRule>
          <x14:cfRule type="expression" priority="2" id="{00000000-000E-0000-0200-000002000000}">
            <xm:f>议程编辑!$E4="prepared"</xm:f>
            <x14:dxf>
              <fill>
                <patternFill patternType="solid">
                  <bgColor rgb="FFEFF7EF"/>
                </patternFill>
              </fill>
            </x14:dxf>
          </x14:cfRule>
          <x14:cfRule type="expression" priority="3" id="{00000000-000E-0000-0200-000003000000}">
            <xm:f>议程编辑!$E4="break"</xm:f>
            <x14:dxf>
              <fill>
                <patternFill patternType="solid">
                  <bgColor rgb="FFF0F2F3"/>
                </patternFill>
              </fill>
              <border>
                <left style="medium">
                  <color rgb="FF00334F"/>
                </left>
              </border>
            </x14:dxf>
          </x14:cfRule>
          <xm:sqref>I8:P37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48"/>
  <sheetViews>
    <sheetView showGridLines="0" workbookViewId="0"/>
  </sheetViews>
  <sheetFormatPr defaultRowHeight="13.8"/>
  <cols>
    <col min="1" max="1" width="3" style="88" customWidth="1"/>
    <col min="2" max="4" width="5.69921875" style="88" customWidth="1"/>
    <col min="5" max="5" width="4.69921875" style="88" customWidth="1"/>
    <col min="6" max="6" width="2.5" style="88" customWidth="1"/>
    <col min="7" max="7" width="5" style="88" customWidth="1"/>
    <col min="8" max="8" width="5.19921875" style="88" customWidth="1"/>
    <col min="9" max="9" width="6" style="88" customWidth="1"/>
    <col min="10" max="10" width="3.69921875" style="88" customWidth="1"/>
    <col min="11" max="12" width="8.5" style="88" customWidth="1"/>
    <col min="13" max="13" width="6.5" style="88" customWidth="1"/>
    <col min="14" max="14" width="5.69921875" style="88" customWidth="1"/>
    <col min="15" max="16" width="6" style="88" customWidth="1"/>
    <col min="17" max="16384" width="8.796875" style="88"/>
  </cols>
  <sheetData>
    <row r="1" spans="1:16" ht="21" customHeight="1">
      <c r="A1" s="85"/>
      <c r="B1" s="86"/>
      <c r="C1" s="87" t="s">
        <v>48</v>
      </c>
      <c r="D1" s="87" t="s">
        <v>48</v>
      </c>
      <c r="E1" s="87" t="s">
        <v>48</v>
      </c>
      <c r="F1" s="87" t="s">
        <v>48</v>
      </c>
      <c r="G1" s="87" t="s">
        <v>48</v>
      </c>
      <c r="H1" s="87" t="s">
        <v>48</v>
      </c>
      <c r="I1" s="87" t="s">
        <v>48</v>
      </c>
      <c r="J1" s="87" t="s">
        <v>48</v>
      </c>
      <c r="K1" s="87" t="s">
        <v>48</v>
      </c>
      <c r="L1" s="87" t="s">
        <v>48</v>
      </c>
      <c r="M1" s="87" t="s">
        <v>48</v>
      </c>
      <c r="N1" s="87" t="s">
        <v>48</v>
      </c>
      <c r="O1" s="87" t="s">
        <v>48</v>
      </c>
      <c r="P1" s="87" t="s">
        <v>48</v>
      </c>
    </row>
    <row r="2" spans="1:16" ht="21" customHeight="1">
      <c r="A2" s="89"/>
      <c r="B2" s="90"/>
      <c r="C2" s="87" t="s">
        <v>48</v>
      </c>
      <c r="D2" s="87" t="s">
        <v>48</v>
      </c>
      <c r="E2" s="87" t="s">
        <v>48</v>
      </c>
      <c r="F2" s="87" t="s">
        <v>48</v>
      </c>
      <c r="G2" s="87" t="s">
        <v>48</v>
      </c>
      <c r="H2" s="87" t="s">
        <v>48</v>
      </c>
      <c r="I2" s="87" t="s">
        <v>48</v>
      </c>
      <c r="J2" s="87" t="s">
        <v>48</v>
      </c>
      <c r="K2" s="87" t="s">
        <v>48</v>
      </c>
      <c r="L2" s="87" t="s">
        <v>48</v>
      </c>
      <c r="M2" s="87" t="s">
        <v>48</v>
      </c>
      <c r="N2" s="87" t="s">
        <v>48</v>
      </c>
      <c r="O2" s="87" t="s">
        <v>48</v>
      </c>
      <c r="P2" s="87" t="s">
        <v>48</v>
      </c>
    </row>
    <row r="3" spans="1:16" ht="21" customHeight="1">
      <c r="A3" s="91" t="str">
        <f>"畅言中文国际演讲俱乐部 · 第 "&amp;IF(操作台!$B$4="接龙导入",IF(计算区!$E$2&lt;&gt;"",计算区!$E$2,操作台!$B$7),操作台!$B$7)&amp;" 期"</f>
        <v>畅言中文国际演讲俱乐部 · 第 782 期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</row>
    <row r="4" spans="1:16" ht="16.5" customHeight="1">
      <c r="A4" s="92" t="str">
        <f>"主题："&amp;IF(操作台!$B$4="接龙导入",IF(计算区!$E$3&lt;&gt;"",计算区!$E$3,操作台!$F$7),操作台!$F$7)</f>
        <v>主题：复盘：我过的怎么样</v>
      </c>
      <c r="B4" s="93"/>
      <c r="C4" s="93"/>
      <c r="D4" s="93"/>
      <c r="E4" s="93"/>
      <c r="F4" s="93"/>
      <c r="G4" s="93"/>
      <c r="H4" s="94"/>
      <c r="I4" s="92" t="str">
        <f>"今日一词："&amp;IF(操作台!$B$4="接龙导入",IF(计算区!$E$4&lt;&gt;"",计算区!$E$4,操作台!$J$7),操作台!$J$7)</f>
        <v>今日一词：看见</v>
      </c>
      <c r="J4" s="93"/>
      <c r="K4" s="93"/>
      <c r="L4" s="94"/>
      <c r="M4" s="92" t="str">
        <f>"例会经理："&amp;IF(操作台!$B$4="接龙导入",IF(计算区!$E$5&lt;&gt;"",计算区!$E$5,操作台!$N$7),操作台!$N$7)</f>
        <v>例会经理：斯敏</v>
      </c>
      <c r="N4" s="93"/>
      <c r="O4" s="93"/>
      <c r="P4" s="94"/>
    </row>
    <row r="5" spans="1:16" ht="16.5" customHeight="1">
      <c r="A5" s="95" t="str">
        <f>"日期："&amp;TEXT(IF(操作台!$B$4="接龙导入",IF(计算区!$E$6&lt;&gt;"",计算区!$E$6,操作台!$B$10),操作台!$B$10),"yyyy-mm-dd")&amp;"   时间："&amp;TEXT(IF(操作台!$B$4="接龙导入",IF(计算区!$E$7&lt;&gt;"",计算区!$E$7,操作台!$F$10),操作台!$F$10),"hh:mm")&amp;"–"&amp;TEXT(IF(操作台!$B$4="接龙导入",IF(计算区!$E$8&lt;&gt;"",计算区!$E$8,操作台!$J$10),操作台!$J$10),"hh:mm")&amp;"   地点："&amp;IF(操作台!$B$4="接龙导入",IF(计算区!$E$9&lt;&gt;"",计算区!$E$9,操作台!$B$13),操作台!$B$13)</f>
        <v>日期：2026-06-30   时间：19:20–21:30   地点：深圳市南山区科技园讯美科技广场3号楼4楼SPACE MAX会议室(高新中A出口)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</row>
    <row r="6" spans="1:16" ht="16.5" customHeight="1">
      <c r="A6" s="146" t="s">
        <v>62</v>
      </c>
      <c r="B6" s="146" t="s">
        <v>62</v>
      </c>
      <c r="C6" s="146" t="s">
        <v>62</v>
      </c>
      <c r="D6" s="146" t="s">
        <v>62</v>
      </c>
      <c r="E6" s="146" t="s">
        <v>62</v>
      </c>
      <c r="F6" s="146" t="s">
        <v>62</v>
      </c>
      <c r="G6" s="146" t="s">
        <v>62</v>
      </c>
      <c r="H6" s="146" t="s">
        <v>62</v>
      </c>
      <c r="I6" s="146" t="s">
        <v>62</v>
      </c>
      <c r="J6" s="146" t="s">
        <v>62</v>
      </c>
      <c r="K6" s="146" t="s">
        <v>62</v>
      </c>
      <c r="L6" s="146" t="s">
        <v>62</v>
      </c>
      <c r="M6" s="146" t="s">
        <v>62</v>
      </c>
      <c r="N6" s="146" t="s">
        <v>62</v>
      </c>
      <c r="O6" s="146" t="s">
        <v>62</v>
      </c>
      <c r="P6" s="146" t="s">
        <v>62</v>
      </c>
    </row>
    <row r="7" spans="1:16" ht="18" customHeight="1">
      <c r="A7" s="97" t="s">
        <v>50</v>
      </c>
      <c r="B7" s="97" t="s">
        <v>50</v>
      </c>
      <c r="C7" s="97" t="s">
        <v>50</v>
      </c>
      <c r="D7" s="97" t="s">
        <v>50</v>
      </c>
      <c r="E7" s="97" t="s">
        <v>50</v>
      </c>
      <c r="F7" s="98" t="s">
        <v>51</v>
      </c>
      <c r="G7" s="98" t="s">
        <v>51</v>
      </c>
      <c r="H7" s="98" t="s">
        <v>51</v>
      </c>
      <c r="I7" s="99" t="s">
        <v>52</v>
      </c>
      <c r="J7" s="98" t="s">
        <v>53</v>
      </c>
      <c r="K7" s="98" t="s">
        <v>53</v>
      </c>
      <c r="L7" s="98" t="s">
        <v>53</v>
      </c>
      <c r="M7" s="98" t="s">
        <v>53</v>
      </c>
      <c r="N7" s="99" t="s">
        <v>54</v>
      </c>
      <c r="O7" s="98" t="s">
        <v>55</v>
      </c>
      <c r="P7" s="98" t="s">
        <v>55</v>
      </c>
    </row>
    <row r="8" spans="1:16" ht="16.5" customHeight="1">
      <c r="A8" s="100" t="str">
        <f>基础资料!$B$4</f>
        <v>畅言中文国际演讲俱乐部，成立于2009年，是南山第一家中文俱乐部，隶属于第118大区、D中区、D5小区。</v>
      </c>
      <c r="B8" s="101"/>
      <c r="C8" s="101"/>
      <c r="D8" s="101"/>
      <c r="E8" s="102"/>
      <c r="F8" s="103" t="str">
        <f>IF(议程编辑!$B34="","",IF(1=MATCH(议程编辑!$C34,议程编辑!$C$34:$C$63,0)+INT((COUNTIF(议程编辑!$C$34:$C$63,议程编辑!$C34)-1)/2),议程编辑!$C34,""))</f>
        <v/>
      </c>
      <c r="G8" s="104" t="str">
        <f>IF(议程编辑!$B34="","",IF(1=MATCH(议程编辑!$C34,议程编辑!$C$34:$C$63,0)+INT((COUNTIF(议程编辑!$C$34:$C$63,议程编辑!$C34)-1)/2),议程编辑!$D34,""))</f>
        <v/>
      </c>
      <c r="H8" s="105"/>
      <c r="I8" s="106" t="str">
        <f>IF(议程编辑!$B34="","",议程编辑!$F34)</f>
        <v/>
      </c>
      <c r="J8" s="107" t="str">
        <f>IF(议程编辑!$B34="","",IF(议程编辑!$L34&lt;&gt;"",议程编辑!$L34,议程编辑!$G34)&amp;IF(IF(议程编辑!$M34&lt;&gt;"",议程编辑!$M34,议程编辑!$H34)="","",CHAR(10)&amp;IF(议程编辑!$M34&lt;&gt;"",议程编辑!$M34,议程编辑!$H34)))</f>
        <v/>
      </c>
      <c r="K8" s="107"/>
      <c r="L8" s="107"/>
      <c r="M8" s="107"/>
      <c r="N8" s="108" t="str">
        <f>IF(议程编辑!$B34="","",IF(议程编辑!$N34&lt;&gt;"",议程编辑!$N34,议程编辑!$I34))</f>
        <v/>
      </c>
      <c r="O8" s="109" t="str">
        <f>IF(议程编辑!$B34="","",IF(议程编辑!$P34&lt;&gt;"",议程编辑!$P34,IF(议程编辑!$K34="","待定",议程编辑!$K34)))</f>
        <v/>
      </c>
      <c r="P8" s="109"/>
    </row>
    <row r="9" spans="1:16" ht="16.5" customHeight="1">
      <c r="A9" s="110"/>
      <c r="B9" s="111"/>
      <c r="C9" s="111"/>
      <c r="D9" s="111"/>
      <c r="E9" s="112"/>
      <c r="F9" s="103" t="str">
        <f>IF(议程编辑!$B35="","",IF(2=MATCH(议程编辑!$C35,议程编辑!$C$34:$C$63,0)+INT((COUNTIF(议程编辑!$C$34:$C$63,议程编辑!$C35)-1)/2),议程编辑!$C35,""))</f>
        <v/>
      </c>
      <c r="G9" s="104" t="str">
        <f>IF(议程编辑!$B35="","",IF(2=MATCH(议程编辑!$C35,议程编辑!$C$34:$C$63,0)+INT((COUNTIF(议程编辑!$C$34:$C$63,议程编辑!$C35)-1)/2),议程编辑!$D35,""))</f>
        <v/>
      </c>
      <c r="H9" s="105"/>
      <c r="I9" s="106" t="str">
        <f>IF(议程编辑!$B35="","",议程编辑!$F35)</f>
        <v/>
      </c>
      <c r="J9" s="107" t="str">
        <f>IF(议程编辑!$B35="","",IF(议程编辑!$L35&lt;&gt;"",议程编辑!$L35,议程编辑!$G35)&amp;IF(IF(议程编辑!$M35&lt;&gt;"",议程编辑!$M35,议程编辑!$H35)="","",CHAR(10)&amp;IF(议程编辑!$M35&lt;&gt;"",议程编辑!$M35,议程编辑!$H35)))</f>
        <v/>
      </c>
      <c r="K9" s="107"/>
      <c r="L9" s="107"/>
      <c r="M9" s="107"/>
      <c r="N9" s="108" t="str">
        <f>IF(议程编辑!$B35="","",IF(议程编辑!$N35&lt;&gt;"",议程编辑!$N35,议程编辑!$I35))</f>
        <v/>
      </c>
      <c r="O9" s="109" t="str">
        <f>IF(议程编辑!$B35="","",IF(议程编辑!$P35&lt;&gt;"",议程编辑!$P35,IF(议程编辑!$K35="","待定",议程编辑!$K35)))</f>
        <v/>
      </c>
      <c r="P9" s="109"/>
    </row>
    <row r="10" spans="1:16" ht="16.5" customHeight="1">
      <c r="A10" s="110"/>
      <c r="B10" s="111"/>
      <c r="C10" s="111"/>
      <c r="D10" s="111"/>
      <c r="E10" s="112"/>
      <c r="F10" s="103" t="str">
        <f>IF(议程编辑!$B36="","",IF(3=MATCH(议程编辑!$C36,议程编辑!$C$34:$C$63,0)+INT((COUNTIF(议程编辑!$C$34:$C$63,议程编辑!$C36)-1)/2),议程编辑!$C36,""))</f>
        <v/>
      </c>
      <c r="G10" s="104" t="str">
        <f>IF(议程编辑!$B36="","",IF(3=MATCH(议程编辑!$C36,议程编辑!$C$34:$C$63,0)+INT((COUNTIF(议程编辑!$C$34:$C$63,议程编辑!$C36)-1)/2),议程编辑!$D36,""))</f>
        <v/>
      </c>
      <c r="H10" s="105"/>
      <c r="I10" s="106" t="str">
        <f>IF(议程编辑!$B36="","",议程编辑!$F36)</f>
        <v/>
      </c>
      <c r="J10" s="107" t="str">
        <f>IF(议程编辑!$B36="","",IF(议程编辑!$L36&lt;&gt;"",议程编辑!$L36,议程编辑!$G36)&amp;IF(IF(议程编辑!$M36&lt;&gt;"",议程编辑!$M36,议程编辑!$H36)="","",CHAR(10)&amp;IF(议程编辑!$M36&lt;&gt;"",议程编辑!$M36,议程编辑!$H36)))</f>
        <v/>
      </c>
      <c r="K10" s="107"/>
      <c r="L10" s="107"/>
      <c r="M10" s="107"/>
      <c r="N10" s="108" t="str">
        <f>IF(议程编辑!$B36="","",IF(议程编辑!$N36&lt;&gt;"",议程编辑!$N36,议程编辑!$I36))</f>
        <v/>
      </c>
      <c r="O10" s="109" t="str">
        <f>IF(议程编辑!$B36="","",IF(议程编辑!$P36&lt;&gt;"",议程编辑!$P36,IF(议程编辑!$K36="","待定",议程编辑!$K36)))</f>
        <v/>
      </c>
      <c r="P10" s="109"/>
    </row>
    <row r="11" spans="1:16" ht="16.5" customHeight="1">
      <c r="A11" s="110"/>
      <c r="B11" s="111"/>
      <c r="C11" s="111"/>
      <c r="D11" s="111"/>
      <c r="E11" s="112"/>
      <c r="F11" s="103" t="str">
        <f>IF(议程编辑!$B37="","",IF(4=MATCH(议程编辑!$C37,议程编辑!$C$34:$C$63,0)+INT((COUNTIF(议程编辑!$C$34:$C$63,议程编辑!$C37)-1)/2),议程编辑!$C37,""))</f>
        <v/>
      </c>
      <c r="G11" s="104" t="str">
        <f>IF(议程编辑!$B37="","",IF(4=MATCH(议程编辑!$C37,议程编辑!$C$34:$C$63,0)+INT((COUNTIF(议程编辑!$C$34:$C$63,议程编辑!$C37)-1)/2),议程编辑!$D37,""))</f>
        <v/>
      </c>
      <c r="H11" s="105"/>
      <c r="I11" s="106" t="str">
        <f>IF(议程编辑!$B37="","",议程编辑!$F37)</f>
        <v/>
      </c>
      <c r="J11" s="107" t="str">
        <f>IF(议程编辑!$B37="","",IF(议程编辑!$L37&lt;&gt;"",议程编辑!$L37,议程编辑!$G37)&amp;IF(IF(议程编辑!$M37&lt;&gt;"",议程编辑!$M37,议程编辑!$H37)="","",CHAR(10)&amp;IF(议程编辑!$M37&lt;&gt;"",议程编辑!$M37,议程编辑!$H37)))</f>
        <v/>
      </c>
      <c r="K11" s="107"/>
      <c r="L11" s="107"/>
      <c r="M11" s="107"/>
      <c r="N11" s="108" t="str">
        <f>IF(议程编辑!$B37="","",IF(议程编辑!$N37&lt;&gt;"",议程编辑!$N37,议程编辑!$I37))</f>
        <v/>
      </c>
      <c r="O11" s="109" t="str">
        <f>IF(议程编辑!$B37="","",IF(议程编辑!$P37&lt;&gt;"",议程编辑!$P37,IF(议程编辑!$K37="","待定",议程编辑!$K37)))</f>
        <v/>
      </c>
      <c r="P11" s="109"/>
    </row>
    <row r="12" spans="1:16" ht="16.5" customHeight="1">
      <c r="A12" s="110"/>
      <c r="B12" s="111"/>
      <c r="C12" s="111"/>
      <c r="D12" s="111"/>
      <c r="E12" s="112"/>
      <c r="F12" s="103" t="str">
        <f>IF(议程编辑!$B38="","",IF(5=MATCH(议程编辑!$C38,议程编辑!$C$34:$C$63,0)+INT((COUNTIF(议程编辑!$C$34:$C$63,议程编辑!$C38)-1)/2),议程编辑!$C38,""))</f>
        <v/>
      </c>
      <c r="G12" s="104" t="str">
        <f>IF(议程编辑!$B38="","",IF(5=MATCH(议程编辑!$C38,议程编辑!$C$34:$C$63,0)+INT((COUNTIF(议程编辑!$C$34:$C$63,议程编辑!$C38)-1)/2),议程编辑!$D38,""))</f>
        <v/>
      </c>
      <c r="H12" s="105"/>
      <c r="I12" s="106" t="str">
        <f>IF(议程编辑!$B38="","",议程编辑!$F38)</f>
        <v/>
      </c>
      <c r="J12" s="107" t="str">
        <f>IF(议程编辑!$B38="","",IF(议程编辑!$L38&lt;&gt;"",议程编辑!$L38,议程编辑!$G38)&amp;IF(IF(议程编辑!$M38&lt;&gt;"",议程编辑!$M38,议程编辑!$H38)="","",CHAR(10)&amp;IF(议程编辑!$M38&lt;&gt;"",议程编辑!$M38,议程编辑!$H38)))</f>
        <v/>
      </c>
      <c r="K12" s="107"/>
      <c r="L12" s="107"/>
      <c r="M12" s="107"/>
      <c r="N12" s="108" t="str">
        <f>IF(议程编辑!$B38="","",IF(议程编辑!$N38&lt;&gt;"",议程编辑!$N38,议程编辑!$I38))</f>
        <v/>
      </c>
      <c r="O12" s="109" t="str">
        <f>IF(议程编辑!$B38="","",IF(议程编辑!$P38&lt;&gt;"",议程编辑!$P38,IF(议程编辑!$K38="","待定",议程编辑!$K38)))</f>
        <v/>
      </c>
      <c r="P12" s="109"/>
    </row>
    <row r="13" spans="1:16" ht="16.5" customHeight="1">
      <c r="A13" s="113"/>
      <c r="B13" s="114"/>
      <c r="C13" s="114"/>
      <c r="D13" s="114"/>
      <c r="E13" s="115"/>
      <c r="F13" s="103" t="str">
        <f>IF(议程编辑!$B39="","",IF(6=MATCH(议程编辑!$C39,议程编辑!$C$34:$C$63,0)+INT((COUNTIF(议程编辑!$C$34:$C$63,议程编辑!$C39)-1)/2),议程编辑!$C39,""))</f>
        <v/>
      </c>
      <c r="G13" s="104" t="str">
        <f>IF(议程编辑!$B39="","",IF(6=MATCH(议程编辑!$C39,议程编辑!$C$34:$C$63,0)+INT((COUNTIF(议程编辑!$C$34:$C$63,议程编辑!$C39)-1)/2),议程编辑!$D39,""))</f>
        <v/>
      </c>
      <c r="H13" s="105"/>
      <c r="I13" s="106" t="str">
        <f>IF(议程编辑!$B39="","",议程编辑!$F39)</f>
        <v/>
      </c>
      <c r="J13" s="107" t="str">
        <f>IF(议程编辑!$B39="","",IF(议程编辑!$L39&lt;&gt;"",议程编辑!$L39,议程编辑!$G39)&amp;IF(IF(议程编辑!$M39&lt;&gt;"",议程编辑!$M39,议程编辑!$H39)="","",CHAR(10)&amp;IF(议程编辑!$M39&lt;&gt;"",议程编辑!$M39,议程编辑!$H39)))</f>
        <v/>
      </c>
      <c r="K13" s="107"/>
      <c r="L13" s="107"/>
      <c r="M13" s="107"/>
      <c r="N13" s="108" t="str">
        <f>IF(议程编辑!$B39="","",IF(议程编辑!$N39&lt;&gt;"",议程编辑!$N39,议程编辑!$I39))</f>
        <v/>
      </c>
      <c r="O13" s="109" t="str">
        <f>IF(议程编辑!$B39="","",IF(议程编辑!$P39&lt;&gt;"",议程编辑!$P39,IF(议程编辑!$K39="","待定",议程编辑!$K39)))</f>
        <v/>
      </c>
      <c r="P13" s="109"/>
    </row>
    <row r="14" spans="1:16" ht="16.5" customHeight="1">
      <c r="A14" s="116" t="s">
        <v>56</v>
      </c>
      <c r="B14" s="116" t="s">
        <v>56</v>
      </c>
      <c r="C14" s="116" t="s">
        <v>56</v>
      </c>
      <c r="D14" s="116" t="s">
        <v>56</v>
      </c>
      <c r="E14" s="116" t="s">
        <v>56</v>
      </c>
      <c r="F14" s="103" t="str">
        <f>IF(议程编辑!$B40="","",IF(7=MATCH(议程编辑!$C40,议程编辑!$C$34:$C$63,0)+INT((COUNTIF(议程编辑!$C$34:$C$63,议程编辑!$C40)-1)/2),议程编辑!$C40,""))</f>
        <v/>
      </c>
      <c r="G14" s="104" t="str">
        <f>IF(议程编辑!$B40="","",IF(7=MATCH(议程编辑!$C40,议程编辑!$C$34:$C$63,0)+INT((COUNTIF(议程编辑!$C$34:$C$63,议程编辑!$C40)-1)/2),议程编辑!$D40,""))</f>
        <v/>
      </c>
      <c r="H14" s="105"/>
      <c r="I14" s="106" t="str">
        <f>IF(议程编辑!$B40="","",议程编辑!$F40)</f>
        <v/>
      </c>
      <c r="J14" s="107" t="str">
        <f>IF(议程编辑!$B40="","",IF(议程编辑!$L40&lt;&gt;"",议程编辑!$L40,议程编辑!$G40)&amp;IF(IF(议程编辑!$M40&lt;&gt;"",议程编辑!$M40,议程编辑!$H40)="","",CHAR(10)&amp;IF(议程编辑!$M40&lt;&gt;"",议程编辑!$M40,议程编辑!$H40)))</f>
        <v/>
      </c>
      <c r="K14" s="107"/>
      <c r="L14" s="107"/>
      <c r="M14" s="107"/>
      <c r="N14" s="108" t="str">
        <f>IF(议程编辑!$B40="","",IF(议程编辑!$N40&lt;&gt;"",议程编辑!$N40,议程编辑!$I40))</f>
        <v/>
      </c>
      <c r="O14" s="109" t="str">
        <f>IF(议程编辑!$B40="","",IF(议程编辑!$P40&lt;&gt;"",议程编辑!$P40,IF(议程编辑!$K40="","待定",议程编辑!$K40)))</f>
        <v/>
      </c>
      <c r="P14" s="109"/>
    </row>
    <row r="15" spans="1:16" ht="16.5" customHeight="1">
      <c r="A15" s="100" t="str">
        <f>基础资料!$B$14</f>
        <v>手机请调至静音｜请留意时间官提示｜欢迎鼓掌、反馈与投票｜入会咨询请联系会员副会长</v>
      </c>
      <c r="B15" s="101"/>
      <c r="C15" s="101"/>
      <c r="D15" s="101"/>
      <c r="E15" s="102"/>
      <c r="F15" s="103" t="str">
        <f>IF(议程编辑!$B41="","",IF(8=MATCH(议程编辑!$C41,议程编辑!$C$34:$C$63,0)+INT((COUNTIF(议程编辑!$C$34:$C$63,议程编辑!$C41)-1)/2),议程编辑!$C41,""))</f>
        <v/>
      </c>
      <c r="G15" s="104" t="str">
        <f>IF(议程编辑!$B41="","",IF(8=MATCH(议程编辑!$C41,议程编辑!$C$34:$C$63,0)+INT((COUNTIF(议程编辑!$C$34:$C$63,议程编辑!$C41)-1)/2),议程编辑!$D41,""))</f>
        <v/>
      </c>
      <c r="H15" s="105"/>
      <c r="I15" s="106" t="str">
        <f>IF(议程编辑!$B41="","",议程编辑!$F41)</f>
        <v/>
      </c>
      <c r="J15" s="107" t="str">
        <f>IF(议程编辑!$B41="","",IF(议程编辑!$L41&lt;&gt;"",议程编辑!$L41,议程编辑!$G41)&amp;IF(IF(议程编辑!$M41&lt;&gt;"",议程编辑!$M41,议程编辑!$H41)="","",CHAR(10)&amp;IF(议程编辑!$M41&lt;&gt;"",议程编辑!$M41,议程编辑!$H41)))</f>
        <v/>
      </c>
      <c r="K15" s="107"/>
      <c r="L15" s="107"/>
      <c r="M15" s="107"/>
      <c r="N15" s="108" t="str">
        <f>IF(议程编辑!$B41="","",IF(议程编辑!$N41&lt;&gt;"",议程编辑!$N41,议程编辑!$I41))</f>
        <v/>
      </c>
      <c r="O15" s="109" t="str">
        <f>IF(议程编辑!$B41="","",IF(议程编辑!$P41&lt;&gt;"",议程编辑!$P41,IF(议程编辑!$K41="","待定",议程编辑!$K41)))</f>
        <v/>
      </c>
      <c r="P15" s="109"/>
    </row>
    <row r="16" spans="1:16" ht="16.5" customHeight="1">
      <c r="A16" s="110"/>
      <c r="B16" s="111"/>
      <c r="C16" s="111"/>
      <c r="D16" s="111"/>
      <c r="E16" s="112"/>
      <c r="F16" s="103" t="str">
        <f>IF(议程编辑!$B42="","",IF(9=MATCH(议程编辑!$C42,议程编辑!$C$34:$C$63,0)+INT((COUNTIF(议程编辑!$C$34:$C$63,议程编辑!$C42)-1)/2),议程编辑!$C42,""))</f>
        <v/>
      </c>
      <c r="G16" s="104" t="str">
        <f>IF(议程编辑!$B42="","",IF(9=MATCH(议程编辑!$C42,议程编辑!$C$34:$C$63,0)+INT((COUNTIF(议程编辑!$C$34:$C$63,议程编辑!$C42)-1)/2),议程编辑!$D42,""))</f>
        <v/>
      </c>
      <c r="H16" s="105"/>
      <c r="I16" s="106" t="str">
        <f>IF(议程编辑!$B42="","",议程编辑!$F42)</f>
        <v/>
      </c>
      <c r="J16" s="107" t="str">
        <f>IF(议程编辑!$B42="","",IF(议程编辑!$L42&lt;&gt;"",议程编辑!$L42,议程编辑!$G42)&amp;IF(IF(议程编辑!$M42&lt;&gt;"",议程编辑!$M42,议程编辑!$H42)="","",CHAR(10)&amp;IF(议程编辑!$M42&lt;&gt;"",议程编辑!$M42,议程编辑!$H42)))</f>
        <v/>
      </c>
      <c r="K16" s="107"/>
      <c r="L16" s="107"/>
      <c r="M16" s="107"/>
      <c r="N16" s="108" t="str">
        <f>IF(议程编辑!$B42="","",IF(议程编辑!$N42&lt;&gt;"",议程编辑!$N42,议程编辑!$I42))</f>
        <v/>
      </c>
      <c r="O16" s="109" t="str">
        <f>IF(议程编辑!$B42="","",IF(议程编辑!$P42&lt;&gt;"",议程编辑!$P42,IF(议程编辑!$K42="","待定",议程编辑!$K42)))</f>
        <v/>
      </c>
      <c r="P16" s="109"/>
    </row>
    <row r="17" spans="1:16" ht="16.5" customHeight="1">
      <c r="A17" s="110"/>
      <c r="B17" s="111"/>
      <c r="C17" s="111"/>
      <c r="D17" s="111"/>
      <c r="E17" s="112"/>
      <c r="F17" s="103" t="str">
        <f>IF(议程编辑!$B43="","",IF(10=MATCH(议程编辑!$C43,议程编辑!$C$34:$C$63,0)+INT((COUNTIF(议程编辑!$C$34:$C$63,议程编辑!$C43)-1)/2),议程编辑!$C43,""))</f>
        <v/>
      </c>
      <c r="G17" s="104" t="str">
        <f>IF(议程编辑!$B43="","",IF(10=MATCH(议程编辑!$C43,议程编辑!$C$34:$C$63,0)+INT((COUNTIF(议程编辑!$C$34:$C$63,议程编辑!$C43)-1)/2),议程编辑!$D43,""))</f>
        <v/>
      </c>
      <c r="H17" s="105"/>
      <c r="I17" s="106" t="str">
        <f>IF(议程编辑!$B43="","",议程编辑!$F43)</f>
        <v/>
      </c>
      <c r="J17" s="107" t="str">
        <f>IF(议程编辑!$B43="","",IF(议程编辑!$L43&lt;&gt;"",议程编辑!$L43,议程编辑!$G43)&amp;IF(IF(议程编辑!$M43&lt;&gt;"",议程编辑!$M43,议程编辑!$H43)="","",CHAR(10)&amp;IF(议程编辑!$M43&lt;&gt;"",议程编辑!$M43,议程编辑!$H43)))</f>
        <v/>
      </c>
      <c r="K17" s="107"/>
      <c r="L17" s="107"/>
      <c r="M17" s="107"/>
      <c r="N17" s="108" t="str">
        <f>IF(议程编辑!$B43="","",IF(议程编辑!$N43&lt;&gt;"",议程编辑!$N43,议程编辑!$I43))</f>
        <v/>
      </c>
      <c r="O17" s="109" t="str">
        <f>IF(议程编辑!$B43="","",IF(议程编辑!$P43&lt;&gt;"",议程编辑!$P43,IF(议程编辑!$K43="","待定",议程编辑!$K43)))</f>
        <v/>
      </c>
      <c r="P17" s="109"/>
    </row>
    <row r="18" spans="1:16" ht="16.5" customHeight="1">
      <c r="A18" s="110"/>
      <c r="B18" s="111"/>
      <c r="C18" s="111"/>
      <c r="D18" s="111"/>
      <c r="E18" s="112"/>
      <c r="F18" s="103" t="str">
        <f>IF(议程编辑!$B44="","",IF(11=MATCH(议程编辑!$C44,议程编辑!$C$34:$C$63,0)+INT((COUNTIF(议程编辑!$C$34:$C$63,议程编辑!$C44)-1)/2),议程编辑!$C44,""))</f>
        <v/>
      </c>
      <c r="G18" s="104" t="str">
        <f>IF(议程编辑!$B44="","",IF(11=MATCH(议程编辑!$C44,议程编辑!$C$34:$C$63,0)+INT((COUNTIF(议程编辑!$C$34:$C$63,议程编辑!$C44)-1)/2),议程编辑!$D44,""))</f>
        <v/>
      </c>
      <c r="H18" s="105"/>
      <c r="I18" s="106" t="str">
        <f>IF(议程编辑!$B44="","",议程编辑!$F44)</f>
        <v/>
      </c>
      <c r="J18" s="107" t="str">
        <f>IF(议程编辑!$B44="","",IF(议程编辑!$L44&lt;&gt;"",议程编辑!$L44,议程编辑!$G44)&amp;IF(IF(议程编辑!$M44&lt;&gt;"",议程编辑!$M44,议程编辑!$H44)="","",CHAR(10)&amp;IF(议程编辑!$M44&lt;&gt;"",议程编辑!$M44,议程编辑!$H44)))</f>
        <v/>
      </c>
      <c r="K18" s="107"/>
      <c r="L18" s="107"/>
      <c r="M18" s="107"/>
      <c r="N18" s="108" t="str">
        <f>IF(议程编辑!$B44="","",IF(议程编辑!$N44&lt;&gt;"",议程编辑!$N44,议程编辑!$I44))</f>
        <v/>
      </c>
      <c r="O18" s="109" t="str">
        <f>IF(议程编辑!$B44="","",IF(议程编辑!$P44&lt;&gt;"",议程编辑!$P44,IF(议程编辑!$K44="","待定",议程编辑!$K44)))</f>
        <v/>
      </c>
      <c r="P18" s="109"/>
    </row>
    <row r="19" spans="1:16" ht="16.5" customHeight="1">
      <c r="A19" s="113"/>
      <c r="B19" s="114"/>
      <c r="C19" s="114"/>
      <c r="D19" s="114"/>
      <c r="E19" s="115"/>
      <c r="F19" s="103" t="str">
        <f>IF(议程编辑!$B45="","",IF(12=MATCH(议程编辑!$C45,议程编辑!$C$34:$C$63,0)+INT((COUNTIF(议程编辑!$C$34:$C$63,议程编辑!$C45)-1)/2),议程编辑!$C45,""))</f>
        <v/>
      </c>
      <c r="G19" s="104" t="str">
        <f>IF(议程编辑!$B45="","",IF(12=MATCH(议程编辑!$C45,议程编辑!$C$34:$C$63,0)+INT((COUNTIF(议程编辑!$C$34:$C$63,议程编辑!$C45)-1)/2),议程编辑!$D45,""))</f>
        <v/>
      </c>
      <c r="H19" s="105"/>
      <c r="I19" s="106" t="str">
        <f>IF(议程编辑!$B45="","",议程编辑!$F45)</f>
        <v/>
      </c>
      <c r="J19" s="107" t="str">
        <f>IF(议程编辑!$B45="","",IF(议程编辑!$L45&lt;&gt;"",议程编辑!$L45,议程编辑!$G45)&amp;IF(IF(议程编辑!$M45&lt;&gt;"",议程编辑!$M45,议程编辑!$H45)="","",CHAR(10)&amp;IF(议程编辑!$M45&lt;&gt;"",议程编辑!$M45,议程编辑!$H45)))</f>
        <v/>
      </c>
      <c r="K19" s="107"/>
      <c r="L19" s="107"/>
      <c r="M19" s="107"/>
      <c r="N19" s="108" t="str">
        <f>IF(议程编辑!$B45="","",IF(议程编辑!$N45&lt;&gt;"",议程编辑!$N45,议程编辑!$I45))</f>
        <v/>
      </c>
      <c r="O19" s="109" t="str">
        <f>IF(议程编辑!$B45="","",IF(议程编辑!$P45&lt;&gt;"",议程编辑!$P45,IF(议程编辑!$K45="","待定",议程编辑!$K45)))</f>
        <v/>
      </c>
      <c r="P19" s="109"/>
    </row>
    <row r="20" spans="1:16" ht="16.5" customHeight="1">
      <c r="A20" s="96" t="s">
        <v>57</v>
      </c>
      <c r="B20" s="96" t="s">
        <v>57</v>
      </c>
      <c r="C20" s="96" t="s">
        <v>57</v>
      </c>
      <c r="D20" s="96" t="s">
        <v>57</v>
      </c>
      <c r="E20" s="96" t="s">
        <v>57</v>
      </c>
      <c r="F20" s="103" t="str">
        <f>IF(议程编辑!$B46="","",IF(13=MATCH(议程编辑!$C46,议程编辑!$C$34:$C$63,0)+INT((COUNTIF(议程编辑!$C$34:$C$63,议程编辑!$C46)-1)/2),议程编辑!$C46,""))</f>
        <v/>
      </c>
      <c r="G20" s="104" t="str">
        <f>IF(议程编辑!$B46="","",IF(13=MATCH(议程编辑!$C46,议程编辑!$C$34:$C$63,0)+INT((COUNTIF(议程编辑!$C$34:$C$63,议程编辑!$C46)-1)/2),议程编辑!$D46,""))</f>
        <v/>
      </c>
      <c r="H20" s="105"/>
      <c r="I20" s="106" t="str">
        <f>IF(议程编辑!$B46="","",议程编辑!$F46)</f>
        <v/>
      </c>
      <c r="J20" s="107" t="str">
        <f>IF(议程编辑!$B46="","",IF(议程编辑!$L46&lt;&gt;"",议程编辑!$L46,议程编辑!$G46)&amp;IF(IF(议程编辑!$M46&lt;&gt;"",议程编辑!$M46,议程编辑!$H46)="","",CHAR(10)&amp;IF(议程编辑!$M46&lt;&gt;"",议程编辑!$M46,议程编辑!$H46)))</f>
        <v/>
      </c>
      <c r="K20" s="107"/>
      <c r="L20" s="107"/>
      <c r="M20" s="107"/>
      <c r="N20" s="108" t="str">
        <f>IF(议程编辑!$B46="","",IF(议程编辑!$N46&lt;&gt;"",议程编辑!$N46,议程编辑!$I46))</f>
        <v/>
      </c>
      <c r="O20" s="109" t="str">
        <f>IF(议程编辑!$B46="","",IF(议程编辑!$P46&lt;&gt;"",议程编辑!$P46,IF(议程编辑!$K46="","待定",议程编辑!$K46)))</f>
        <v/>
      </c>
      <c r="P20" s="109"/>
    </row>
    <row r="21" spans="1:16" ht="16.5" customHeight="1">
      <c r="A21" s="117"/>
      <c r="B21" s="117"/>
      <c r="C21" s="117"/>
      <c r="D21" s="117"/>
      <c r="E21" s="117"/>
      <c r="F21" s="103" t="str">
        <f>IF(议程编辑!$B47="","",IF(14=MATCH(议程编辑!$C47,议程编辑!$C$34:$C$63,0)+INT((COUNTIF(议程编辑!$C$34:$C$63,议程编辑!$C47)-1)/2),议程编辑!$C47,""))</f>
        <v/>
      </c>
      <c r="G21" s="104" t="str">
        <f>IF(议程编辑!$B47="","",IF(14=MATCH(议程编辑!$C47,议程编辑!$C$34:$C$63,0)+INT((COUNTIF(议程编辑!$C$34:$C$63,议程编辑!$C47)-1)/2),议程编辑!$D47,""))</f>
        <v/>
      </c>
      <c r="H21" s="105"/>
      <c r="I21" s="106" t="str">
        <f>IF(议程编辑!$B47="","",议程编辑!$F47)</f>
        <v/>
      </c>
      <c r="J21" s="107" t="str">
        <f>IF(议程编辑!$B47="","",IF(议程编辑!$L47&lt;&gt;"",议程编辑!$L47,议程编辑!$G47)&amp;IF(IF(议程编辑!$M47&lt;&gt;"",议程编辑!$M47,议程编辑!$H47)="","",CHAR(10)&amp;IF(议程编辑!$M47&lt;&gt;"",议程编辑!$M47,议程编辑!$H47)))</f>
        <v/>
      </c>
      <c r="K21" s="107"/>
      <c r="L21" s="107"/>
      <c r="M21" s="107"/>
      <c r="N21" s="108" t="str">
        <f>IF(议程编辑!$B47="","",IF(议程编辑!$N47&lt;&gt;"",议程编辑!$N47,议程编辑!$I47))</f>
        <v/>
      </c>
      <c r="O21" s="109" t="str">
        <f>IF(议程编辑!$B47="","",IF(议程编辑!$P47&lt;&gt;"",议程编辑!$P47,IF(议程编辑!$K47="","待定",议程编辑!$K47)))</f>
        <v/>
      </c>
      <c r="P21" s="109"/>
    </row>
    <row r="22" spans="1:16" ht="16.5" customHeight="1">
      <c r="A22" s="117"/>
      <c r="B22" s="117"/>
      <c r="C22" s="117"/>
      <c r="D22" s="117"/>
      <c r="E22" s="117"/>
      <c r="F22" s="103" t="str">
        <f>IF(议程编辑!$B48="","",IF(15=MATCH(议程编辑!$C48,议程编辑!$C$34:$C$63,0)+INT((COUNTIF(议程编辑!$C$34:$C$63,议程编辑!$C48)-1)/2),议程编辑!$C48,""))</f>
        <v/>
      </c>
      <c r="G22" s="104" t="str">
        <f>IF(议程编辑!$B48="","",IF(15=MATCH(议程编辑!$C48,议程编辑!$C$34:$C$63,0)+INT((COUNTIF(议程编辑!$C$34:$C$63,议程编辑!$C48)-1)/2),议程编辑!$D48,""))</f>
        <v/>
      </c>
      <c r="H22" s="105"/>
      <c r="I22" s="106" t="str">
        <f>IF(议程编辑!$B48="","",议程编辑!$F48)</f>
        <v/>
      </c>
      <c r="J22" s="107" t="str">
        <f>IF(议程编辑!$B48="","",IF(议程编辑!$L48&lt;&gt;"",议程编辑!$L48,议程编辑!$G48)&amp;IF(IF(议程编辑!$M48&lt;&gt;"",议程编辑!$M48,议程编辑!$H48)="","",CHAR(10)&amp;IF(议程编辑!$M48&lt;&gt;"",议程编辑!$M48,议程编辑!$H48)))</f>
        <v/>
      </c>
      <c r="K22" s="107"/>
      <c r="L22" s="107"/>
      <c r="M22" s="107"/>
      <c r="N22" s="108" t="str">
        <f>IF(议程编辑!$B48="","",IF(议程编辑!$N48&lt;&gt;"",议程编辑!$N48,议程编辑!$I48))</f>
        <v/>
      </c>
      <c r="O22" s="109" t="str">
        <f>IF(议程编辑!$B48="","",IF(议程编辑!$P48&lt;&gt;"",议程编辑!$P48,IF(议程编辑!$K48="","待定",议程编辑!$K48)))</f>
        <v/>
      </c>
      <c r="P22" s="109"/>
    </row>
    <row r="23" spans="1:16" ht="16.5" customHeight="1">
      <c r="A23" s="117"/>
      <c r="B23" s="117"/>
      <c r="C23" s="117"/>
      <c r="D23" s="117"/>
      <c r="E23" s="117"/>
      <c r="F23" s="103" t="str">
        <f>IF(议程编辑!$B49="","",IF(16=MATCH(议程编辑!$C49,议程编辑!$C$34:$C$63,0)+INT((COUNTIF(议程编辑!$C$34:$C$63,议程编辑!$C49)-1)/2),议程编辑!$C49,""))</f>
        <v/>
      </c>
      <c r="G23" s="104" t="str">
        <f>IF(议程编辑!$B49="","",IF(16=MATCH(议程编辑!$C49,议程编辑!$C$34:$C$63,0)+INT((COUNTIF(议程编辑!$C$34:$C$63,议程编辑!$C49)-1)/2),议程编辑!$D49,""))</f>
        <v/>
      </c>
      <c r="H23" s="105"/>
      <c r="I23" s="106" t="str">
        <f>IF(议程编辑!$B49="","",议程编辑!$F49)</f>
        <v/>
      </c>
      <c r="J23" s="107" t="str">
        <f>IF(议程编辑!$B49="","",IF(议程编辑!$L49&lt;&gt;"",议程编辑!$L49,议程编辑!$G49)&amp;IF(IF(议程编辑!$M49&lt;&gt;"",议程编辑!$M49,议程编辑!$H49)="","",CHAR(10)&amp;IF(议程编辑!$M49&lt;&gt;"",议程编辑!$M49,议程编辑!$H49)))</f>
        <v/>
      </c>
      <c r="K23" s="107"/>
      <c r="L23" s="107"/>
      <c r="M23" s="107"/>
      <c r="N23" s="108" t="str">
        <f>IF(议程编辑!$B49="","",IF(议程编辑!$N49&lt;&gt;"",议程编辑!$N49,议程编辑!$I49))</f>
        <v/>
      </c>
      <c r="O23" s="109" t="str">
        <f>IF(议程编辑!$B49="","",IF(议程编辑!$P49&lt;&gt;"",议程编辑!$P49,IF(议程编辑!$K49="","待定",议程编辑!$K49)))</f>
        <v/>
      </c>
      <c r="P23" s="109"/>
    </row>
    <row r="24" spans="1:16" ht="16.5" customHeight="1">
      <c r="A24" s="117"/>
      <c r="B24" s="117"/>
      <c r="C24" s="117"/>
      <c r="D24" s="117"/>
      <c r="E24" s="117"/>
      <c r="F24" s="103" t="str">
        <f>IF(议程编辑!$B50="","",IF(17=MATCH(议程编辑!$C50,议程编辑!$C$34:$C$63,0)+INT((COUNTIF(议程编辑!$C$34:$C$63,议程编辑!$C50)-1)/2),议程编辑!$C50,""))</f>
        <v/>
      </c>
      <c r="G24" s="104" t="str">
        <f>IF(议程编辑!$B50="","",IF(17=MATCH(议程编辑!$C50,议程编辑!$C$34:$C$63,0)+INT((COUNTIF(议程编辑!$C$34:$C$63,议程编辑!$C50)-1)/2),议程编辑!$D50,""))</f>
        <v/>
      </c>
      <c r="H24" s="105"/>
      <c r="I24" s="106" t="str">
        <f>IF(议程编辑!$B50="","",议程编辑!$F50)</f>
        <v/>
      </c>
      <c r="J24" s="107" t="str">
        <f>IF(议程编辑!$B50="","",IF(议程编辑!$L50&lt;&gt;"",议程编辑!$L50,议程编辑!$G50)&amp;IF(IF(议程编辑!$M50&lt;&gt;"",议程编辑!$M50,议程编辑!$H50)="","",CHAR(10)&amp;IF(议程编辑!$M50&lt;&gt;"",议程编辑!$M50,议程编辑!$H50)))</f>
        <v/>
      </c>
      <c r="K24" s="107"/>
      <c r="L24" s="107"/>
      <c r="M24" s="107"/>
      <c r="N24" s="108" t="str">
        <f>IF(议程编辑!$B50="","",IF(议程编辑!$N50&lt;&gt;"",议程编辑!$N50,议程编辑!$I50))</f>
        <v/>
      </c>
      <c r="O24" s="109" t="str">
        <f>IF(议程编辑!$B50="","",IF(议程编辑!$P50&lt;&gt;"",议程编辑!$P50,IF(议程编辑!$K50="","待定",议程编辑!$K50)))</f>
        <v/>
      </c>
      <c r="P24" s="109"/>
    </row>
    <row r="25" spans="1:16" ht="16.5" customHeight="1">
      <c r="A25" s="117"/>
      <c r="B25" s="117"/>
      <c r="C25" s="117"/>
      <c r="D25" s="117"/>
      <c r="E25" s="117"/>
      <c r="F25" s="103" t="str">
        <f>IF(议程编辑!$B51="","",IF(18=MATCH(议程编辑!$C51,议程编辑!$C$34:$C$63,0)+INT((COUNTIF(议程编辑!$C$34:$C$63,议程编辑!$C51)-1)/2),议程编辑!$C51,""))</f>
        <v/>
      </c>
      <c r="G25" s="104" t="str">
        <f>IF(议程编辑!$B51="","",IF(18=MATCH(议程编辑!$C51,议程编辑!$C$34:$C$63,0)+INT((COUNTIF(议程编辑!$C$34:$C$63,议程编辑!$C51)-1)/2),议程编辑!$D51,""))</f>
        <v/>
      </c>
      <c r="H25" s="105"/>
      <c r="I25" s="106" t="str">
        <f>IF(议程编辑!$B51="","",议程编辑!$F51)</f>
        <v/>
      </c>
      <c r="J25" s="107" t="str">
        <f>IF(议程编辑!$B51="","",IF(议程编辑!$L51&lt;&gt;"",议程编辑!$L51,议程编辑!$G51)&amp;IF(IF(议程编辑!$M51&lt;&gt;"",议程编辑!$M51,议程编辑!$H51)="","",CHAR(10)&amp;IF(议程编辑!$M51&lt;&gt;"",议程编辑!$M51,议程编辑!$H51)))</f>
        <v/>
      </c>
      <c r="K25" s="107"/>
      <c r="L25" s="107"/>
      <c r="M25" s="107"/>
      <c r="N25" s="108" t="str">
        <f>IF(议程编辑!$B51="","",IF(议程编辑!$N51&lt;&gt;"",议程编辑!$N51,议程编辑!$I51))</f>
        <v/>
      </c>
      <c r="O25" s="109" t="str">
        <f>IF(议程编辑!$B51="","",IF(议程编辑!$P51&lt;&gt;"",议程编辑!$P51,IF(议程编辑!$K51="","待定",议程编辑!$K51)))</f>
        <v/>
      </c>
      <c r="P25" s="109"/>
    </row>
    <row r="26" spans="1:16" ht="16.5" customHeight="1">
      <c r="A26" s="117"/>
      <c r="B26" s="117"/>
      <c r="C26" s="117"/>
      <c r="D26" s="117"/>
      <c r="E26" s="117"/>
      <c r="F26" s="103" t="str">
        <f>IF(议程编辑!$B52="","",IF(19=MATCH(议程编辑!$C52,议程编辑!$C$34:$C$63,0)+INT((COUNTIF(议程编辑!$C$34:$C$63,议程编辑!$C52)-1)/2),议程编辑!$C52,""))</f>
        <v/>
      </c>
      <c r="G26" s="104" t="str">
        <f>IF(议程编辑!$B52="","",IF(19=MATCH(议程编辑!$C52,议程编辑!$C$34:$C$63,0)+INT((COUNTIF(议程编辑!$C$34:$C$63,议程编辑!$C52)-1)/2),议程编辑!$D52,""))</f>
        <v/>
      </c>
      <c r="H26" s="105"/>
      <c r="I26" s="106" t="str">
        <f>IF(议程编辑!$B52="","",议程编辑!$F52)</f>
        <v/>
      </c>
      <c r="J26" s="107" t="str">
        <f>IF(议程编辑!$B52="","",IF(议程编辑!$L52&lt;&gt;"",议程编辑!$L52,议程编辑!$G52)&amp;IF(IF(议程编辑!$M52&lt;&gt;"",议程编辑!$M52,议程编辑!$H52)="","",CHAR(10)&amp;IF(议程编辑!$M52&lt;&gt;"",议程编辑!$M52,议程编辑!$H52)))</f>
        <v/>
      </c>
      <c r="K26" s="107"/>
      <c r="L26" s="107"/>
      <c r="M26" s="107"/>
      <c r="N26" s="108" t="str">
        <f>IF(议程编辑!$B52="","",IF(议程编辑!$N52&lt;&gt;"",议程编辑!$N52,议程编辑!$I52))</f>
        <v/>
      </c>
      <c r="O26" s="109" t="str">
        <f>IF(议程编辑!$B52="","",IF(议程编辑!$P52&lt;&gt;"",议程编辑!$P52,IF(议程编辑!$K52="","待定",议程编辑!$K52)))</f>
        <v/>
      </c>
      <c r="P26" s="109"/>
    </row>
    <row r="27" spans="1:16" ht="16.5" customHeight="1">
      <c r="A27" s="117"/>
      <c r="B27" s="117"/>
      <c r="C27" s="117"/>
      <c r="D27" s="117"/>
      <c r="E27" s="117"/>
      <c r="F27" s="103" t="str">
        <f>IF(议程编辑!$B53="","",IF(20=MATCH(议程编辑!$C53,议程编辑!$C$34:$C$63,0)+INT((COUNTIF(议程编辑!$C$34:$C$63,议程编辑!$C53)-1)/2),议程编辑!$C53,""))</f>
        <v/>
      </c>
      <c r="G27" s="104" t="str">
        <f>IF(议程编辑!$B53="","",IF(20=MATCH(议程编辑!$C53,议程编辑!$C$34:$C$63,0)+INT((COUNTIF(议程编辑!$C$34:$C$63,议程编辑!$C53)-1)/2),议程编辑!$D53,""))</f>
        <v/>
      </c>
      <c r="H27" s="105"/>
      <c r="I27" s="106" t="str">
        <f>IF(议程编辑!$B53="","",议程编辑!$F53)</f>
        <v/>
      </c>
      <c r="J27" s="107" t="str">
        <f>IF(议程编辑!$B53="","",IF(议程编辑!$L53&lt;&gt;"",议程编辑!$L53,议程编辑!$G53)&amp;IF(IF(议程编辑!$M53&lt;&gt;"",议程编辑!$M53,议程编辑!$H53)="","",CHAR(10)&amp;IF(议程编辑!$M53&lt;&gt;"",议程编辑!$M53,议程编辑!$H53)))</f>
        <v/>
      </c>
      <c r="K27" s="107"/>
      <c r="L27" s="107"/>
      <c r="M27" s="107"/>
      <c r="N27" s="108" t="str">
        <f>IF(议程编辑!$B53="","",IF(议程编辑!$N53&lt;&gt;"",议程编辑!$N53,议程编辑!$I53))</f>
        <v/>
      </c>
      <c r="O27" s="109" t="str">
        <f>IF(议程编辑!$B53="","",IF(议程编辑!$P53&lt;&gt;"",议程编辑!$P53,IF(议程编辑!$K53="","待定",议程编辑!$K53)))</f>
        <v/>
      </c>
      <c r="P27" s="109"/>
    </row>
    <row r="28" spans="1:16" ht="16.5" customHeight="1">
      <c r="A28" s="117"/>
      <c r="B28" s="117"/>
      <c r="C28" s="117"/>
      <c r="D28" s="117"/>
      <c r="E28" s="117"/>
      <c r="F28" s="103" t="str">
        <f>IF(议程编辑!$B54="","",IF(21=MATCH(议程编辑!$C54,议程编辑!$C$34:$C$63,0)+INT((COUNTIF(议程编辑!$C$34:$C$63,议程编辑!$C54)-1)/2),议程编辑!$C54,""))</f>
        <v/>
      </c>
      <c r="G28" s="104" t="str">
        <f>IF(议程编辑!$B54="","",IF(21=MATCH(议程编辑!$C54,议程编辑!$C$34:$C$63,0)+INT((COUNTIF(议程编辑!$C$34:$C$63,议程编辑!$C54)-1)/2),议程编辑!$D54,""))</f>
        <v/>
      </c>
      <c r="H28" s="105"/>
      <c r="I28" s="106" t="str">
        <f>IF(议程编辑!$B54="","",议程编辑!$F54)</f>
        <v/>
      </c>
      <c r="J28" s="107" t="str">
        <f>IF(议程编辑!$B54="","",IF(议程编辑!$L54&lt;&gt;"",议程编辑!$L54,议程编辑!$G54)&amp;IF(IF(议程编辑!$M54&lt;&gt;"",议程编辑!$M54,议程编辑!$H54)="","",CHAR(10)&amp;IF(议程编辑!$M54&lt;&gt;"",议程编辑!$M54,议程编辑!$H54)))</f>
        <v/>
      </c>
      <c r="K28" s="107"/>
      <c r="L28" s="107"/>
      <c r="M28" s="107"/>
      <c r="N28" s="108" t="str">
        <f>IF(议程编辑!$B54="","",IF(议程编辑!$N54&lt;&gt;"",议程编辑!$N54,议程编辑!$I54))</f>
        <v/>
      </c>
      <c r="O28" s="109" t="str">
        <f>IF(议程编辑!$B54="","",IF(议程编辑!$P54&lt;&gt;"",议程编辑!$P54,IF(议程编辑!$K54="","待定",议程编辑!$K54)))</f>
        <v/>
      </c>
      <c r="P28" s="109"/>
    </row>
    <row r="29" spans="1:16" ht="16.5" customHeight="1">
      <c r="A29" s="118" t="s">
        <v>58</v>
      </c>
      <c r="B29" s="118" t="s">
        <v>58</v>
      </c>
      <c r="C29" s="118" t="s">
        <v>59</v>
      </c>
      <c r="D29" s="118" t="s">
        <v>59</v>
      </c>
      <c r="E29" s="118" t="s">
        <v>59</v>
      </c>
      <c r="F29" s="103" t="str">
        <f>IF(议程编辑!$B55="","",IF(22=MATCH(议程编辑!$C55,议程编辑!$C$34:$C$63,0)+INT((COUNTIF(议程编辑!$C$34:$C$63,议程编辑!$C55)-1)/2),议程编辑!$C55,""))</f>
        <v/>
      </c>
      <c r="G29" s="104" t="str">
        <f>IF(议程编辑!$B55="","",IF(22=MATCH(议程编辑!$C55,议程编辑!$C$34:$C$63,0)+INT((COUNTIF(议程编辑!$C$34:$C$63,议程编辑!$C55)-1)/2),议程编辑!$D55,""))</f>
        <v/>
      </c>
      <c r="H29" s="105"/>
      <c r="I29" s="106" t="str">
        <f>IF(议程编辑!$B55="","",议程编辑!$F55)</f>
        <v/>
      </c>
      <c r="J29" s="107" t="str">
        <f>IF(议程编辑!$B55="","",IF(议程编辑!$L55&lt;&gt;"",议程编辑!$L55,议程编辑!$G55)&amp;IF(IF(议程编辑!$M55&lt;&gt;"",议程编辑!$M55,议程编辑!$H55)="","",CHAR(10)&amp;IF(议程编辑!$M55&lt;&gt;"",议程编辑!$M55,议程编辑!$H55)))</f>
        <v/>
      </c>
      <c r="K29" s="107"/>
      <c r="L29" s="107"/>
      <c r="M29" s="107"/>
      <c r="N29" s="108" t="str">
        <f>IF(议程编辑!$B55="","",IF(议程编辑!$N55&lt;&gt;"",议程编辑!$N55,议程编辑!$I55))</f>
        <v/>
      </c>
      <c r="O29" s="109" t="str">
        <f>IF(议程编辑!$B55="","",IF(议程编辑!$P55&lt;&gt;"",议程编辑!$P55,IF(议程编辑!$K55="","待定",议程编辑!$K55)))</f>
        <v/>
      </c>
      <c r="P29" s="109"/>
    </row>
    <row r="30" spans="1:16" ht="16.5" customHeight="1">
      <c r="A30" s="117"/>
      <c r="B30" s="117"/>
      <c r="C30" s="117"/>
      <c r="D30" s="117"/>
      <c r="E30" s="117"/>
      <c r="F30" s="103" t="str">
        <f>IF(议程编辑!$B56="","",IF(23=MATCH(议程编辑!$C56,议程编辑!$C$34:$C$63,0)+INT((COUNTIF(议程编辑!$C$34:$C$63,议程编辑!$C56)-1)/2),议程编辑!$C56,""))</f>
        <v/>
      </c>
      <c r="G30" s="104" t="str">
        <f>IF(议程编辑!$B56="","",IF(23=MATCH(议程编辑!$C56,议程编辑!$C$34:$C$63,0)+INT((COUNTIF(议程编辑!$C$34:$C$63,议程编辑!$C56)-1)/2),议程编辑!$D56,""))</f>
        <v/>
      </c>
      <c r="H30" s="105"/>
      <c r="I30" s="106" t="str">
        <f>IF(议程编辑!$B56="","",议程编辑!$F56)</f>
        <v/>
      </c>
      <c r="J30" s="107" t="str">
        <f>IF(议程编辑!$B56="","",IF(议程编辑!$L56&lt;&gt;"",议程编辑!$L56,议程编辑!$G56)&amp;IF(IF(议程编辑!$M56&lt;&gt;"",议程编辑!$M56,议程编辑!$H56)="","",CHAR(10)&amp;IF(议程编辑!$M56&lt;&gt;"",议程编辑!$M56,议程编辑!$H56)))</f>
        <v/>
      </c>
      <c r="K30" s="107"/>
      <c r="L30" s="107"/>
      <c r="M30" s="107"/>
      <c r="N30" s="108" t="str">
        <f>IF(议程编辑!$B56="","",IF(议程编辑!$N56&lt;&gt;"",议程编辑!$N56,议程编辑!$I56))</f>
        <v/>
      </c>
      <c r="O30" s="109" t="str">
        <f>IF(议程编辑!$B56="","",IF(议程编辑!$P56&lt;&gt;"",议程编辑!$P56,IF(议程编辑!$K56="","待定",议程编辑!$K56)))</f>
        <v/>
      </c>
      <c r="P30" s="109"/>
    </row>
    <row r="31" spans="1:16" ht="16.5" customHeight="1">
      <c r="A31" s="116" t="s">
        <v>60</v>
      </c>
      <c r="B31" s="116" t="s">
        <v>60</v>
      </c>
      <c r="C31" s="116" t="s">
        <v>60</v>
      </c>
      <c r="D31" s="116" t="s">
        <v>60</v>
      </c>
      <c r="E31" s="116" t="s">
        <v>60</v>
      </c>
      <c r="F31" s="103" t="str">
        <f>IF(议程编辑!$B57="","",IF(24=MATCH(议程编辑!$C57,议程编辑!$C$34:$C$63,0)+INT((COUNTIF(议程编辑!$C$34:$C$63,议程编辑!$C57)-1)/2),议程编辑!$C57,""))</f>
        <v/>
      </c>
      <c r="G31" s="104" t="str">
        <f>IF(议程编辑!$B57="","",IF(24=MATCH(议程编辑!$C57,议程编辑!$C$34:$C$63,0)+INT((COUNTIF(议程编辑!$C$34:$C$63,议程编辑!$C57)-1)/2),议程编辑!$D57,""))</f>
        <v/>
      </c>
      <c r="H31" s="105"/>
      <c r="I31" s="106" t="str">
        <f>IF(议程编辑!$B57="","",议程编辑!$F57)</f>
        <v/>
      </c>
      <c r="J31" s="107" t="str">
        <f>IF(议程编辑!$B57="","",IF(议程编辑!$L57&lt;&gt;"",议程编辑!$L57,议程编辑!$G57)&amp;IF(IF(议程编辑!$M57&lt;&gt;"",议程编辑!$M57,议程编辑!$H57)="","",CHAR(10)&amp;IF(议程编辑!$M57&lt;&gt;"",议程编辑!$M57,议程编辑!$H57)))</f>
        <v/>
      </c>
      <c r="K31" s="107"/>
      <c r="L31" s="107"/>
      <c r="M31" s="107"/>
      <c r="N31" s="108" t="str">
        <f>IF(议程编辑!$B57="","",IF(议程编辑!$N57&lt;&gt;"",议程编辑!$N57,议程编辑!$I57))</f>
        <v/>
      </c>
      <c r="O31" s="109" t="str">
        <f>IF(议程编辑!$B57="","",IF(议程编辑!$P57&lt;&gt;"",议程编辑!$P57,IF(议程编辑!$K57="","待定",议程编辑!$K57)))</f>
        <v/>
      </c>
      <c r="P31" s="109"/>
    </row>
    <row r="32" spans="1:16" ht="16.5" customHeight="1">
      <c r="A32" s="100" t="str">
        <f>基础资料!$B$16</f>
        <v>President会长：贾燕微
VPE 教育副会长：莫婷
VPM 会员副会长：Jessica
VPPR 公关副会长：史迪仔
Secretary 秘书：女侠
Treasurer 财务：聪聪
Sergeant at Arms 接待官：Venus Deng斯敏</v>
      </c>
      <c r="B32" s="101"/>
      <c r="C32" s="101"/>
      <c r="D32" s="101"/>
      <c r="E32" s="102"/>
      <c r="F32" s="103" t="str">
        <f>IF(议程编辑!$B58="","",IF(25=MATCH(议程编辑!$C58,议程编辑!$C$34:$C$63,0)+INT((COUNTIF(议程编辑!$C$34:$C$63,议程编辑!$C58)-1)/2),议程编辑!$C58,""))</f>
        <v/>
      </c>
      <c r="G32" s="104" t="str">
        <f>IF(议程编辑!$B58="","",IF(25=MATCH(议程编辑!$C58,议程编辑!$C$34:$C$63,0)+INT((COUNTIF(议程编辑!$C$34:$C$63,议程编辑!$C58)-1)/2),议程编辑!$D58,""))</f>
        <v/>
      </c>
      <c r="H32" s="105"/>
      <c r="I32" s="106" t="str">
        <f>IF(议程编辑!$B58="","",议程编辑!$F58)</f>
        <v/>
      </c>
      <c r="J32" s="107" t="str">
        <f>IF(议程编辑!$B58="","",IF(议程编辑!$L58&lt;&gt;"",议程编辑!$L58,议程编辑!$G58)&amp;IF(IF(议程编辑!$M58&lt;&gt;"",议程编辑!$M58,议程编辑!$H58)="","",CHAR(10)&amp;IF(议程编辑!$M58&lt;&gt;"",议程编辑!$M58,议程编辑!$H58)))</f>
        <v/>
      </c>
      <c r="K32" s="107"/>
      <c r="L32" s="107"/>
      <c r="M32" s="107"/>
      <c r="N32" s="108" t="str">
        <f>IF(议程编辑!$B58="","",IF(议程编辑!$N58&lt;&gt;"",议程编辑!$N58,议程编辑!$I58))</f>
        <v/>
      </c>
      <c r="O32" s="109" t="str">
        <f>IF(议程编辑!$B58="","",IF(议程编辑!$P58&lt;&gt;"",议程编辑!$P58,IF(议程编辑!$K58="","待定",议程编辑!$K58)))</f>
        <v/>
      </c>
      <c r="P32" s="109"/>
    </row>
    <row r="33" spans="1:16" ht="16.5" customHeight="1">
      <c r="A33" s="110"/>
      <c r="B33" s="111"/>
      <c r="C33" s="111"/>
      <c r="D33" s="111"/>
      <c r="E33" s="112"/>
      <c r="F33" s="103" t="str">
        <f>IF(议程编辑!$B59="","",IF(26=MATCH(议程编辑!$C59,议程编辑!$C$34:$C$63,0)+INT((COUNTIF(议程编辑!$C$34:$C$63,议程编辑!$C59)-1)/2),议程编辑!$C59,""))</f>
        <v/>
      </c>
      <c r="G33" s="104" t="str">
        <f>IF(议程编辑!$B59="","",IF(26=MATCH(议程编辑!$C59,议程编辑!$C$34:$C$63,0)+INT((COUNTIF(议程编辑!$C$34:$C$63,议程编辑!$C59)-1)/2),议程编辑!$D59,""))</f>
        <v/>
      </c>
      <c r="H33" s="105"/>
      <c r="I33" s="106" t="str">
        <f>IF(议程编辑!$B59="","",议程编辑!$F59)</f>
        <v/>
      </c>
      <c r="J33" s="107" t="str">
        <f>IF(议程编辑!$B59="","",IF(议程编辑!$L59&lt;&gt;"",议程编辑!$L59,议程编辑!$G59)&amp;IF(IF(议程编辑!$M59&lt;&gt;"",议程编辑!$M59,议程编辑!$H59)="","",CHAR(10)&amp;IF(议程编辑!$M59&lt;&gt;"",议程编辑!$M59,议程编辑!$H59)))</f>
        <v/>
      </c>
      <c r="K33" s="107"/>
      <c r="L33" s="107"/>
      <c r="M33" s="107"/>
      <c r="N33" s="108" t="str">
        <f>IF(议程编辑!$B59="","",IF(议程编辑!$N59&lt;&gt;"",议程编辑!$N59,议程编辑!$I59))</f>
        <v/>
      </c>
      <c r="O33" s="109" t="str">
        <f>IF(议程编辑!$B59="","",IF(议程编辑!$P59&lt;&gt;"",议程编辑!$P59,IF(议程编辑!$K59="","待定",议程编辑!$K59)))</f>
        <v/>
      </c>
      <c r="P33" s="109"/>
    </row>
    <row r="34" spans="1:16" ht="16.5" customHeight="1">
      <c r="A34" s="110"/>
      <c r="B34" s="111"/>
      <c r="C34" s="111"/>
      <c r="D34" s="111"/>
      <c r="E34" s="112"/>
      <c r="F34" s="103" t="str">
        <f>IF(议程编辑!$B60="","",IF(27=MATCH(议程编辑!$C60,议程编辑!$C$34:$C$63,0)+INT((COUNTIF(议程编辑!$C$34:$C$63,议程编辑!$C60)-1)/2),议程编辑!$C60,""))</f>
        <v/>
      </c>
      <c r="G34" s="104" t="str">
        <f>IF(议程编辑!$B60="","",IF(27=MATCH(议程编辑!$C60,议程编辑!$C$34:$C$63,0)+INT((COUNTIF(议程编辑!$C$34:$C$63,议程编辑!$C60)-1)/2),议程编辑!$D60,""))</f>
        <v/>
      </c>
      <c r="H34" s="105"/>
      <c r="I34" s="106" t="str">
        <f>IF(议程编辑!$B60="","",议程编辑!$F60)</f>
        <v/>
      </c>
      <c r="J34" s="107" t="str">
        <f>IF(议程编辑!$B60="","",IF(议程编辑!$L60&lt;&gt;"",议程编辑!$L60,议程编辑!$G60)&amp;IF(IF(议程编辑!$M60&lt;&gt;"",议程编辑!$M60,议程编辑!$H60)="","",CHAR(10)&amp;IF(议程编辑!$M60&lt;&gt;"",议程编辑!$M60,议程编辑!$H60)))</f>
        <v/>
      </c>
      <c r="K34" s="107"/>
      <c r="L34" s="107"/>
      <c r="M34" s="107"/>
      <c r="N34" s="108" t="str">
        <f>IF(议程编辑!$B60="","",IF(议程编辑!$N60&lt;&gt;"",议程编辑!$N60,议程编辑!$I60))</f>
        <v/>
      </c>
      <c r="O34" s="109" t="str">
        <f>IF(议程编辑!$B60="","",IF(议程编辑!$P60&lt;&gt;"",议程编辑!$P60,IF(议程编辑!$K60="","待定",议程编辑!$K60)))</f>
        <v/>
      </c>
      <c r="P34" s="109"/>
    </row>
    <row r="35" spans="1:16" ht="16.5" customHeight="1">
      <c r="A35" s="110"/>
      <c r="B35" s="111"/>
      <c r="C35" s="111"/>
      <c r="D35" s="111"/>
      <c r="E35" s="112"/>
      <c r="F35" s="103" t="str">
        <f>IF(议程编辑!$B61="","",IF(28=MATCH(议程编辑!$C61,议程编辑!$C$34:$C$63,0)+INT((COUNTIF(议程编辑!$C$34:$C$63,议程编辑!$C61)-1)/2),议程编辑!$C61,""))</f>
        <v/>
      </c>
      <c r="G35" s="104" t="str">
        <f>IF(议程编辑!$B61="","",IF(28=MATCH(议程编辑!$C61,议程编辑!$C$34:$C$63,0)+INT((COUNTIF(议程编辑!$C$34:$C$63,议程编辑!$C61)-1)/2),议程编辑!$D61,""))</f>
        <v/>
      </c>
      <c r="H35" s="105"/>
      <c r="I35" s="106" t="str">
        <f>IF(议程编辑!$B61="","",议程编辑!$F61)</f>
        <v/>
      </c>
      <c r="J35" s="107" t="str">
        <f>IF(议程编辑!$B61="","",IF(议程编辑!$L61&lt;&gt;"",议程编辑!$L61,议程编辑!$G61)&amp;IF(IF(议程编辑!$M61&lt;&gt;"",议程编辑!$M61,议程编辑!$H61)="","",CHAR(10)&amp;IF(议程编辑!$M61&lt;&gt;"",议程编辑!$M61,议程编辑!$H61)))</f>
        <v/>
      </c>
      <c r="K35" s="107"/>
      <c r="L35" s="107"/>
      <c r="M35" s="107"/>
      <c r="N35" s="108" t="str">
        <f>IF(议程编辑!$B61="","",IF(议程编辑!$N61&lt;&gt;"",议程编辑!$N61,议程编辑!$I61))</f>
        <v/>
      </c>
      <c r="O35" s="109" t="str">
        <f>IF(议程编辑!$B61="","",IF(议程编辑!$P61&lt;&gt;"",议程编辑!$P61,IF(议程编辑!$K61="","待定",议程编辑!$K61)))</f>
        <v/>
      </c>
      <c r="P35" s="109"/>
    </row>
    <row r="36" spans="1:16" ht="16.5" customHeight="1">
      <c r="A36" s="110"/>
      <c r="B36" s="111"/>
      <c r="C36" s="111"/>
      <c r="D36" s="111"/>
      <c r="E36" s="112"/>
      <c r="F36" s="103" t="str">
        <f>IF(议程编辑!$B62="","",IF(29=MATCH(议程编辑!$C62,议程编辑!$C$34:$C$63,0)+INT((COUNTIF(议程编辑!$C$34:$C$63,议程编辑!$C62)-1)/2),议程编辑!$C62,""))</f>
        <v/>
      </c>
      <c r="G36" s="104" t="str">
        <f>IF(议程编辑!$B62="","",IF(29=MATCH(议程编辑!$C62,议程编辑!$C$34:$C$63,0)+INT((COUNTIF(议程编辑!$C$34:$C$63,议程编辑!$C62)-1)/2),议程编辑!$D62,""))</f>
        <v/>
      </c>
      <c r="H36" s="105"/>
      <c r="I36" s="106" t="str">
        <f>IF(议程编辑!$B62="","",议程编辑!$F62)</f>
        <v/>
      </c>
      <c r="J36" s="107" t="str">
        <f>IF(议程编辑!$B62="","",IF(议程编辑!$L62&lt;&gt;"",议程编辑!$L62,议程编辑!$G62)&amp;IF(IF(议程编辑!$M62&lt;&gt;"",议程编辑!$M62,议程编辑!$H62)="","",CHAR(10)&amp;IF(议程编辑!$M62&lt;&gt;"",议程编辑!$M62,议程编辑!$H62)))</f>
        <v/>
      </c>
      <c r="K36" s="107"/>
      <c r="L36" s="107"/>
      <c r="M36" s="107"/>
      <c r="N36" s="108" t="str">
        <f>IF(议程编辑!$B62="","",IF(议程编辑!$N62&lt;&gt;"",议程编辑!$N62,议程编辑!$I62))</f>
        <v/>
      </c>
      <c r="O36" s="109" t="str">
        <f>IF(议程编辑!$B62="","",IF(议程编辑!$P62&lt;&gt;"",议程编辑!$P62,IF(议程编辑!$K62="","待定",议程编辑!$K62)))</f>
        <v/>
      </c>
      <c r="P36" s="109"/>
    </row>
    <row r="37" spans="1:16" ht="16.5" customHeight="1">
      <c r="A37" s="110"/>
      <c r="B37" s="111"/>
      <c r="C37" s="111"/>
      <c r="D37" s="111"/>
      <c r="E37" s="112"/>
      <c r="F37" s="103" t="str">
        <f>IF(议程编辑!$B63="","",IF(30=MATCH(议程编辑!$C63,议程编辑!$C$34:$C$63,0)+INT((COUNTIF(议程编辑!$C$34:$C$63,议程编辑!$C63)-1)/2),议程编辑!$C63,""))</f>
        <v/>
      </c>
      <c r="G37" s="104" t="str">
        <f>IF(议程编辑!$B63="","",IF(30=MATCH(议程编辑!$C63,议程编辑!$C$34:$C$63,0)+INT((COUNTIF(议程编辑!$C$34:$C$63,议程编辑!$C63)-1)/2),议程编辑!$D63,""))</f>
        <v/>
      </c>
      <c r="H37" s="105"/>
      <c r="I37" s="106" t="str">
        <f>IF(议程编辑!$B63="","",议程编辑!$F63)</f>
        <v/>
      </c>
      <c r="J37" s="107" t="str">
        <f>IF(议程编辑!$B63="","",IF(议程编辑!$L63&lt;&gt;"",议程编辑!$L63,议程编辑!$G63)&amp;IF(IF(议程编辑!$M63&lt;&gt;"",议程编辑!$M63,议程编辑!$H63)="","",CHAR(10)&amp;IF(议程编辑!$M63&lt;&gt;"",议程编辑!$M63,议程编辑!$H63)))</f>
        <v/>
      </c>
      <c r="K37" s="107"/>
      <c r="L37" s="107"/>
      <c r="M37" s="107"/>
      <c r="N37" s="108" t="str">
        <f>IF(议程编辑!$B63="","",IF(议程编辑!$N63&lt;&gt;"",议程编辑!$N63,议程编辑!$I63))</f>
        <v/>
      </c>
      <c r="O37" s="109" t="str">
        <f>IF(议程编辑!$B63="","",IF(议程编辑!$P63&lt;&gt;"",议程编辑!$P63,IF(议程编辑!$K63="","待定",议程编辑!$K63)))</f>
        <v/>
      </c>
      <c r="P37" s="109"/>
    </row>
    <row r="38" spans="1:16" ht="14.4">
      <c r="A38" s="113"/>
      <c r="B38" s="114"/>
      <c r="C38" s="114"/>
      <c r="D38" s="114"/>
      <c r="E38" s="115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</row>
    <row r="39" spans="1:16" ht="15.6">
      <c r="A39" s="97" t="s">
        <v>61</v>
      </c>
      <c r="B39" s="97" t="s">
        <v>61</v>
      </c>
      <c r="C39" s="97" t="s">
        <v>61</v>
      </c>
      <c r="D39" s="97" t="s">
        <v>61</v>
      </c>
      <c r="E39" s="97" t="s">
        <v>61</v>
      </c>
      <c r="F39" s="147" t="str">
        <f>IF(SUM(议程编辑!$S$34:$S$63)=0,"本页无超出项目","续页项目："&amp;SUM(议程编辑!$S$34:$S$63)&amp;" 项")</f>
        <v>本页无超出项目</v>
      </c>
      <c r="G39" s="148"/>
      <c r="H39" s="148"/>
      <c r="I39" s="148"/>
      <c r="J39" s="148"/>
      <c r="K39" s="148"/>
      <c r="L39" s="148"/>
      <c r="M39" s="148"/>
      <c r="N39" s="148"/>
      <c r="O39" s="148"/>
      <c r="P39" s="149"/>
    </row>
    <row r="40" spans="1:16">
      <c r="A40" s="100" t="str">
        <f>"主题："&amp;基础资料!$B$18&amp;CHAR(10)&amp;"日期："&amp;基础资料!$B$19</f>
        <v>主题：人生暂停5分钟
日期：2026-07-07</v>
      </c>
      <c r="B40" s="101"/>
      <c r="C40" s="101"/>
      <c r="D40" s="101"/>
      <c r="E40" s="102"/>
      <c r="F40" s="150"/>
      <c r="G40" s="151"/>
      <c r="H40" s="151"/>
      <c r="I40" s="151"/>
      <c r="J40" s="151"/>
      <c r="K40" s="151"/>
      <c r="L40" s="151"/>
      <c r="M40" s="151"/>
      <c r="N40" s="151"/>
      <c r="O40" s="151"/>
      <c r="P40" s="152"/>
    </row>
    <row r="41" spans="1:16">
      <c r="A41" s="110"/>
      <c r="B41" s="111"/>
      <c r="C41" s="111"/>
      <c r="D41" s="111"/>
      <c r="E41" s="112"/>
      <c r="F41" s="150"/>
      <c r="G41" s="151"/>
      <c r="H41" s="151"/>
      <c r="I41" s="151"/>
      <c r="J41" s="151"/>
      <c r="K41" s="151"/>
      <c r="L41" s="151"/>
      <c r="M41" s="151"/>
      <c r="N41" s="151"/>
      <c r="O41" s="151"/>
      <c r="P41" s="152"/>
    </row>
    <row r="42" spans="1:16">
      <c r="A42" s="113"/>
      <c r="B42" s="114"/>
      <c r="C42" s="114"/>
      <c r="D42" s="114"/>
      <c r="E42" s="115"/>
      <c r="F42" s="153"/>
      <c r="G42" s="154"/>
      <c r="H42" s="154"/>
      <c r="I42" s="154"/>
      <c r="J42" s="154"/>
      <c r="K42" s="154"/>
      <c r="L42" s="154"/>
      <c r="M42" s="154"/>
      <c r="N42" s="154"/>
      <c r="O42" s="154"/>
      <c r="P42" s="155"/>
    </row>
    <row r="43" spans="1:16" ht="14.4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</row>
    <row r="44" spans="1:16" ht="16.5" customHeight="1">
      <c r="A44" s="128" t="str">
        <f>基础资料!$B$20&amp;CHAR(10)&amp;基础资料!$B$17</f>
        <v>【来宾介绍】 【即兴演讲】 【话题分词】
无需经验，欢迎第一次参加
会议愿景：很开心与大家建立一种愉悦的学习旅程，谢谢大家~</v>
      </c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30"/>
      <c r="N44" s="131"/>
      <c r="O44" s="132"/>
      <c r="P44" s="133"/>
    </row>
    <row r="45" spans="1:16" ht="16.5" customHeight="1">
      <c r="A45" s="134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6"/>
      <c r="N45" s="137"/>
      <c r="O45" s="138"/>
      <c r="P45" s="139"/>
    </row>
    <row r="46" spans="1:16" ht="16.5" customHeight="1">
      <c r="A46" s="134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6"/>
      <c r="N46" s="137"/>
      <c r="O46" s="138"/>
      <c r="P46" s="139"/>
    </row>
    <row r="47" spans="1:16" ht="16.5" customHeight="1">
      <c r="A47" s="134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6"/>
      <c r="N47" s="137"/>
      <c r="O47" s="138"/>
      <c r="P47" s="139"/>
    </row>
    <row r="48" spans="1:16" ht="16.5" customHeight="1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2"/>
      <c r="N48" s="143"/>
      <c r="O48" s="144"/>
      <c r="P48" s="145"/>
    </row>
  </sheetData>
  <sheetProtection sheet="1" scenarios="1"/>
  <mergeCells count="115">
    <mergeCell ref="G37:H37"/>
    <mergeCell ref="J37:M37"/>
    <mergeCell ref="O37:P37"/>
    <mergeCell ref="A44:M48"/>
    <mergeCell ref="N44:P48"/>
    <mergeCell ref="F39:P42"/>
    <mergeCell ref="G35:H35"/>
    <mergeCell ref="J35:M35"/>
    <mergeCell ref="O35:P35"/>
    <mergeCell ref="G36:H36"/>
    <mergeCell ref="J36:M36"/>
    <mergeCell ref="O36:P36"/>
    <mergeCell ref="G33:H33"/>
    <mergeCell ref="J33:M33"/>
    <mergeCell ref="O33:P33"/>
    <mergeCell ref="G34:H34"/>
    <mergeCell ref="J34:M34"/>
    <mergeCell ref="O34:P34"/>
    <mergeCell ref="G31:H31"/>
    <mergeCell ref="J31:M31"/>
    <mergeCell ref="O31:P31"/>
    <mergeCell ref="G32:H32"/>
    <mergeCell ref="J32:M32"/>
    <mergeCell ref="O32:P32"/>
    <mergeCell ref="G29:H29"/>
    <mergeCell ref="J29:M29"/>
    <mergeCell ref="O29:P29"/>
    <mergeCell ref="G30:H30"/>
    <mergeCell ref="J30:M30"/>
    <mergeCell ref="O30:P30"/>
    <mergeCell ref="G27:H27"/>
    <mergeCell ref="J27:M27"/>
    <mergeCell ref="O27:P27"/>
    <mergeCell ref="G28:H28"/>
    <mergeCell ref="J28:M28"/>
    <mergeCell ref="O28:P28"/>
    <mergeCell ref="G25:H25"/>
    <mergeCell ref="J25:M25"/>
    <mergeCell ref="O25:P25"/>
    <mergeCell ref="G26:H26"/>
    <mergeCell ref="J26:M26"/>
    <mergeCell ref="O26:P26"/>
    <mergeCell ref="G23:H23"/>
    <mergeCell ref="J23:M23"/>
    <mergeCell ref="O23:P23"/>
    <mergeCell ref="G24:H24"/>
    <mergeCell ref="J24:M24"/>
    <mergeCell ref="O24:P24"/>
    <mergeCell ref="G21:H21"/>
    <mergeCell ref="J21:M21"/>
    <mergeCell ref="O21:P21"/>
    <mergeCell ref="G22:H22"/>
    <mergeCell ref="J22:M22"/>
    <mergeCell ref="O22:P22"/>
    <mergeCell ref="G19:H19"/>
    <mergeCell ref="J19:M19"/>
    <mergeCell ref="O19:P19"/>
    <mergeCell ref="G20:H20"/>
    <mergeCell ref="J20:M20"/>
    <mergeCell ref="O20:P20"/>
    <mergeCell ref="G17:H17"/>
    <mergeCell ref="J17:M17"/>
    <mergeCell ref="O17:P17"/>
    <mergeCell ref="G18:H18"/>
    <mergeCell ref="J18:M18"/>
    <mergeCell ref="O18:P18"/>
    <mergeCell ref="G15:H15"/>
    <mergeCell ref="J15:M15"/>
    <mergeCell ref="O15:P15"/>
    <mergeCell ref="G16:H16"/>
    <mergeCell ref="J16:M16"/>
    <mergeCell ref="O16:P16"/>
    <mergeCell ref="A32:E38"/>
    <mergeCell ref="A39:E39"/>
    <mergeCell ref="A40:E42"/>
    <mergeCell ref="F7:H7"/>
    <mergeCell ref="J7:M7"/>
    <mergeCell ref="G8:H8"/>
    <mergeCell ref="J8:M8"/>
    <mergeCell ref="G9:H9"/>
    <mergeCell ref="J9:M9"/>
    <mergeCell ref="G10:H10"/>
    <mergeCell ref="J10:M10"/>
    <mergeCell ref="G11:H11"/>
    <mergeCell ref="J11:M11"/>
    <mergeCell ref="G12:H12"/>
    <mergeCell ref="J12:M12"/>
    <mergeCell ref="G13:H13"/>
    <mergeCell ref="A15:E19"/>
    <mergeCell ref="A20:E20"/>
    <mergeCell ref="A29:B29"/>
    <mergeCell ref="C29:E29"/>
    <mergeCell ref="A31:E31"/>
    <mergeCell ref="A5:P5"/>
    <mergeCell ref="A6:P6"/>
    <mergeCell ref="A7:E7"/>
    <mergeCell ref="A8:E13"/>
    <mergeCell ref="A14:E14"/>
    <mergeCell ref="O7:P7"/>
    <mergeCell ref="O8:P8"/>
    <mergeCell ref="O9:P9"/>
    <mergeCell ref="O10:P10"/>
    <mergeCell ref="O11:P11"/>
    <mergeCell ref="O12:P12"/>
    <mergeCell ref="J13:M13"/>
    <mergeCell ref="O13:P13"/>
    <mergeCell ref="G14:H14"/>
    <mergeCell ref="J14:M14"/>
    <mergeCell ref="O14:P14"/>
    <mergeCell ref="A1:B2"/>
    <mergeCell ref="C1:P2"/>
    <mergeCell ref="A3:P3"/>
    <mergeCell ref="A4:H4"/>
    <mergeCell ref="I4:L4"/>
    <mergeCell ref="M4:P4"/>
  </mergeCells>
  <phoneticPr fontId="20" type="noConversion"/>
  <conditionalFormatting sqref="O8:P37">
    <cfRule type="containsText" dxfId="0" priority="4" operator="containsText" text="待定"/>
  </conditionalFormatting>
  <printOptions horizontalCentered="1"/>
  <pageMargins left="0.4724409448818897" right="0.4724409448818897" top="0.4724409448818897" bottom="0.4724409448818897" header="0" footer="0"/>
  <pageSetup paperSize="9" scale="97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300-000001000000}">
            <xm:f>议程编辑!$E34="impromptu"</xm:f>
            <x14:dxf>
              <fill>
                <patternFill patternType="solid">
                  <bgColor rgb="FFEDF4FA"/>
                </patternFill>
              </fill>
            </x14:dxf>
          </x14:cfRule>
          <x14:cfRule type="expression" priority="2" id="{00000000-000E-0000-0300-000002000000}">
            <xm:f>议程编辑!$E34="prepared"</xm:f>
            <x14:dxf>
              <fill>
                <patternFill patternType="solid">
                  <bgColor rgb="FFEFF7EF"/>
                </patternFill>
              </fill>
            </x14:dxf>
          </x14:cfRule>
          <x14:cfRule type="expression" priority="3" id="{00000000-000E-0000-0300-000003000000}">
            <xm:f>议程编辑!$E34="break"</xm:f>
            <x14:dxf>
              <fill>
                <patternFill patternType="solid">
                  <bgColor rgb="FFF0F2F3"/>
                </patternFill>
              </fill>
              <border>
                <left style="medium">
                  <color rgb="FF00334F"/>
                </left>
              </border>
            </x14:dxf>
          </x14:cfRule>
          <xm:sqref>I8:P37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7"/>
  <sheetViews>
    <sheetView showGridLines="0" workbookViewId="0"/>
  </sheetViews>
  <sheetFormatPr defaultRowHeight="13.8"/>
  <cols>
    <col min="1" max="1" width="14" customWidth="1"/>
    <col min="2" max="2" width="15.19921875" customWidth="1"/>
    <col min="3" max="3" width="6" customWidth="1"/>
    <col min="4" max="4" width="15.69921875" customWidth="1"/>
    <col min="5" max="5" width="7.69921875" customWidth="1"/>
    <col min="6" max="6" width="8.19921875" customWidth="1"/>
    <col min="7" max="7" width="15.5" customWidth="1"/>
    <col min="8" max="8" width="23.5" customWidth="1"/>
    <col min="9" max="9" width="27.5" customWidth="1"/>
    <col min="10" max="10" width="10.69921875" customWidth="1"/>
    <col min="11" max="11" width="9.69921875" customWidth="1"/>
    <col min="12" max="12" width="15.69921875" customWidth="1"/>
    <col min="13" max="13" width="10.19921875" customWidth="1"/>
  </cols>
  <sheetData>
    <row r="1" spans="1:13" ht="25.5" customHeight="1">
      <c r="A1" s="2" t="s">
        <v>63</v>
      </c>
      <c r="B1" s="2" t="s">
        <v>64</v>
      </c>
      <c r="C1" s="2" t="s">
        <v>65</v>
      </c>
      <c r="D1" s="2" t="s">
        <v>30</v>
      </c>
      <c r="E1" s="2" t="s">
        <v>33</v>
      </c>
      <c r="F1" s="2" t="s">
        <v>31</v>
      </c>
      <c r="G1" s="2" t="s">
        <v>32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</row>
    <row r="2" spans="1:13">
      <c r="A2" s="3" t="s">
        <v>72</v>
      </c>
      <c r="B2" s="3" t="s">
        <v>4</v>
      </c>
      <c r="C2" s="3">
        <v>1</v>
      </c>
      <c r="D2" s="3" t="s">
        <v>73</v>
      </c>
      <c r="E2" s="3" t="s">
        <v>74</v>
      </c>
      <c r="F2" s="3">
        <v>1</v>
      </c>
      <c r="G2" s="3" t="s">
        <v>75</v>
      </c>
      <c r="H2" s="3" t="s">
        <v>75</v>
      </c>
      <c r="I2" s="3"/>
      <c r="J2" s="3"/>
      <c r="K2" s="4">
        <v>0</v>
      </c>
      <c r="L2" s="3"/>
      <c r="M2" s="3" t="s">
        <v>76</v>
      </c>
    </row>
    <row r="3" spans="1:13">
      <c r="A3" s="3" t="s">
        <v>72</v>
      </c>
      <c r="B3" s="3" t="s">
        <v>4</v>
      </c>
      <c r="C3" s="3">
        <v>2</v>
      </c>
      <c r="D3" s="3" t="s">
        <v>77</v>
      </c>
      <c r="E3" s="3" t="s">
        <v>78</v>
      </c>
      <c r="F3" s="3">
        <v>1</v>
      </c>
      <c r="G3" s="3" t="s">
        <v>75</v>
      </c>
      <c r="H3" s="3" t="s">
        <v>79</v>
      </c>
      <c r="I3" s="3"/>
      <c r="J3" s="3" t="s">
        <v>80</v>
      </c>
      <c r="K3" s="4">
        <v>5</v>
      </c>
      <c r="L3" s="3" t="s">
        <v>81</v>
      </c>
      <c r="M3" s="3" t="s">
        <v>76</v>
      </c>
    </row>
    <row r="4" spans="1:13">
      <c r="A4" s="3" t="s">
        <v>72</v>
      </c>
      <c r="B4" s="3" t="s">
        <v>4</v>
      </c>
      <c r="C4" s="3">
        <v>3</v>
      </c>
      <c r="D4" s="3" t="s">
        <v>82</v>
      </c>
      <c r="E4" s="3" t="s">
        <v>78</v>
      </c>
      <c r="F4" s="3">
        <v>1</v>
      </c>
      <c r="G4" s="3" t="s">
        <v>75</v>
      </c>
      <c r="H4" s="3" t="s">
        <v>83</v>
      </c>
      <c r="I4" s="3"/>
      <c r="J4" s="3" t="s">
        <v>80</v>
      </c>
      <c r="K4" s="4">
        <v>5</v>
      </c>
      <c r="L4" s="3" t="s">
        <v>81</v>
      </c>
      <c r="M4" s="3" t="s">
        <v>76</v>
      </c>
    </row>
    <row r="5" spans="1:13">
      <c r="A5" s="3" t="s">
        <v>72</v>
      </c>
      <c r="B5" s="3" t="s">
        <v>4</v>
      </c>
      <c r="C5" s="3">
        <v>4</v>
      </c>
      <c r="D5" s="3" t="s">
        <v>84</v>
      </c>
      <c r="E5" s="3" t="s">
        <v>78</v>
      </c>
      <c r="F5" s="3">
        <v>1</v>
      </c>
      <c r="G5" s="3" t="s">
        <v>75</v>
      </c>
      <c r="H5" s="3" t="s">
        <v>85</v>
      </c>
      <c r="I5" s="3"/>
      <c r="J5" s="3" t="s">
        <v>86</v>
      </c>
      <c r="K5" s="4">
        <v>1</v>
      </c>
      <c r="L5" s="3"/>
      <c r="M5" s="3" t="s">
        <v>76</v>
      </c>
    </row>
    <row r="6" spans="1:13">
      <c r="A6" s="3" t="s">
        <v>72</v>
      </c>
      <c r="B6" s="3" t="s">
        <v>4</v>
      </c>
      <c r="C6" s="3">
        <v>5</v>
      </c>
      <c r="D6" s="3" t="s">
        <v>87</v>
      </c>
      <c r="E6" s="3" t="s">
        <v>78</v>
      </c>
      <c r="F6" s="3">
        <v>1</v>
      </c>
      <c r="G6" s="3" t="s">
        <v>75</v>
      </c>
      <c r="H6" s="3" t="s">
        <v>88</v>
      </c>
      <c r="I6" s="3"/>
      <c r="J6" s="3" t="s">
        <v>89</v>
      </c>
      <c r="K6" s="4">
        <v>3</v>
      </c>
      <c r="L6" s="3"/>
      <c r="M6" s="3" t="s">
        <v>76</v>
      </c>
    </row>
    <row r="7" spans="1:13">
      <c r="A7" s="3" t="s">
        <v>72</v>
      </c>
      <c r="B7" s="3" t="s">
        <v>4</v>
      </c>
      <c r="C7" s="3">
        <v>6</v>
      </c>
      <c r="D7" s="3" t="s">
        <v>90</v>
      </c>
      <c r="E7" s="3" t="s">
        <v>78</v>
      </c>
      <c r="F7" s="3">
        <v>1</v>
      </c>
      <c r="G7" s="3" t="s">
        <v>75</v>
      </c>
      <c r="H7" s="3" t="s">
        <v>91</v>
      </c>
      <c r="I7" s="3"/>
      <c r="J7" s="3" t="s">
        <v>92</v>
      </c>
      <c r="K7" s="4">
        <v>2</v>
      </c>
      <c r="L7" s="3"/>
      <c r="M7" s="3" t="s">
        <v>76</v>
      </c>
    </row>
    <row r="8" spans="1:13">
      <c r="A8" s="3" t="s">
        <v>72</v>
      </c>
      <c r="B8" s="3" t="s">
        <v>4</v>
      </c>
      <c r="C8" s="3">
        <v>7</v>
      </c>
      <c r="D8" s="3" t="s">
        <v>93</v>
      </c>
      <c r="E8" s="3" t="s">
        <v>78</v>
      </c>
      <c r="F8" s="3">
        <v>1</v>
      </c>
      <c r="G8" s="3" t="s">
        <v>75</v>
      </c>
      <c r="H8" s="3" t="s">
        <v>94</v>
      </c>
      <c r="I8" s="3"/>
      <c r="J8" s="3" t="s">
        <v>92</v>
      </c>
      <c r="K8" s="4">
        <v>2</v>
      </c>
      <c r="L8" s="3"/>
      <c r="M8" s="3" t="s">
        <v>76</v>
      </c>
    </row>
    <row r="9" spans="1:13">
      <c r="A9" s="3" t="s">
        <v>72</v>
      </c>
      <c r="B9" s="3" t="s">
        <v>4</v>
      </c>
      <c r="C9" s="3">
        <v>8</v>
      </c>
      <c r="D9" s="3" t="s">
        <v>95</v>
      </c>
      <c r="E9" s="3" t="s">
        <v>78</v>
      </c>
      <c r="F9" s="3">
        <v>1</v>
      </c>
      <c r="G9" s="3" t="s">
        <v>75</v>
      </c>
      <c r="H9" s="3" t="s">
        <v>96</v>
      </c>
      <c r="I9" s="3"/>
      <c r="J9" s="3" t="s">
        <v>92</v>
      </c>
      <c r="K9" s="4">
        <v>2</v>
      </c>
      <c r="L9" s="3"/>
      <c r="M9" s="3" t="s">
        <v>76</v>
      </c>
    </row>
    <row r="10" spans="1:13">
      <c r="A10" s="3" t="s">
        <v>72</v>
      </c>
      <c r="B10" s="3" t="s">
        <v>4</v>
      </c>
      <c r="C10" s="3">
        <v>9</v>
      </c>
      <c r="D10" s="3" t="s">
        <v>97</v>
      </c>
      <c r="E10" s="3" t="s">
        <v>78</v>
      </c>
      <c r="F10" s="3">
        <v>1</v>
      </c>
      <c r="G10" s="3" t="s">
        <v>75</v>
      </c>
      <c r="H10" s="3" t="s">
        <v>98</v>
      </c>
      <c r="I10" s="3"/>
      <c r="J10" s="3" t="s">
        <v>92</v>
      </c>
      <c r="K10" s="4">
        <v>2</v>
      </c>
      <c r="L10" s="3"/>
      <c r="M10" s="3" t="s">
        <v>76</v>
      </c>
    </row>
    <row r="11" spans="1:13">
      <c r="A11" s="3" t="s">
        <v>72</v>
      </c>
      <c r="B11" s="3" t="s">
        <v>4</v>
      </c>
      <c r="C11" s="3">
        <v>10</v>
      </c>
      <c r="D11" s="3" t="s">
        <v>99</v>
      </c>
      <c r="E11" s="3" t="s">
        <v>74</v>
      </c>
      <c r="F11" s="3">
        <v>2</v>
      </c>
      <c r="G11" s="3" t="s">
        <v>100</v>
      </c>
      <c r="H11" s="3" t="s">
        <v>100</v>
      </c>
      <c r="I11" s="3"/>
      <c r="J11" s="3"/>
      <c r="K11" s="4">
        <v>0</v>
      </c>
      <c r="L11" s="3"/>
      <c r="M11" s="3" t="s">
        <v>101</v>
      </c>
    </row>
    <row r="12" spans="1:13">
      <c r="A12" s="3" t="s">
        <v>72</v>
      </c>
      <c r="B12" s="3" t="s">
        <v>4</v>
      </c>
      <c r="C12" s="3">
        <v>11</v>
      </c>
      <c r="D12" s="3" t="s">
        <v>102</v>
      </c>
      <c r="E12" s="3" t="s">
        <v>78</v>
      </c>
      <c r="F12" s="3">
        <v>2</v>
      </c>
      <c r="G12" s="3" t="s">
        <v>100</v>
      </c>
      <c r="H12" s="3" t="s">
        <v>103</v>
      </c>
      <c r="I12" s="3"/>
      <c r="J12" s="3" t="s">
        <v>92</v>
      </c>
      <c r="K12" s="4">
        <v>2</v>
      </c>
      <c r="L12" s="3"/>
      <c r="M12" s="3" t="s">
        <v>101</v>
      </c>
    </row>
    <row r="13" spans="1:13">
      <c r="A13" s="3" t="s">
        <v>72</v>
      </c>
      <c r="B13" s="3" t="s">
        <v>4</v>
      </c>
      <c r="C13" s="3">
        <v>12</v>
      </c>
      <c r="D13" s="3" t="s">
        <v>104</v>
      </c>
      <c r="E13" s="3" t="s">
        <v>78</v>
      </c>
      <c r="F13" s="3">
        <v>2</v>
      </c>
      <c r="G13" s="3" t="s">
        <v>100</v>
      </c>
      <c r="H13" s="3" t="s">
        <v>100</v>
      </c>
      <c r="I13" s="3"/>
      <c r="J13" s="3" t="s">
        <v>105</v>
      </c>
      <c r="K13" s="4">
        <v>16</v>
      </c>
      <c r="L13" s="3" t="s">
        <v>106</v>
      </c>
      <c r="M13" s="3" t="s">
        <v>101</v>
      </c>
    </row>
    <row r="14" spans="1:13">
      <c r="A14" s="3" t="s">
        <v>72</v>
      </c>
      <c r="B14" s="3" t="s">
        <v>4</v>
      </c>
      <c r="C14" s="3">
        <v>13</v>
      </c>
      <c r="D14" s="3" t="s">
        <v>107</v>
      </c>
      <c r="E14" s="3" t="s">
        <v>74</v>
      </c>
      <c r="F14" s="3">
        <v>3</v>
      </c>
      <c r="G14" s="3" t="s">
        <v>108</v>
      </c>
      <c r="H14" s="3" t="s">
        <v>108</v>
      </c>
      <c r="I14" s="3"/>
      <c r="J14" s="3"/>
      <c r="K14" s="4">
        <v>0</v>
      </c>
      <c r="L14" s="3"/>
      <c r="M14" s="3" t="s">
        <v>109</v>
      </c>
    </row>
    <row r="15" spans="1:13">
      <c r="A15" s="3" t="s">
        <v>72</v>
      </c>
      <c r="B15" s="3" t="s">
        <v>4</v>
      </c>
      <c r="C15" s="3">
        <v>14</v>
      </c>
      <c r="D15" s="3" t="s">
        <v>110</v>
      </c>
      <c r="E15" s="3" t="s">
        <v>78</v>
      </c>
      <c r="F15" s="3">
        <v>3</v>
      </c>
      <c r="G15" s="3" t="s">
        <v>108</v>
      </c>
      <c r="H15" s="3" t="s">
        <v>111</v>
      </c>
      <c r="I15" s="3"/>
      <c r="J15" s="3" t="s">
        <v>92</v>
      </c>
      <c r="K15" s="4">
        <v>2</v>
      </c>
      <c r="L15" s="3"/>
      <c r="M15" s="3" t="s">
        <v>76</v>
      </c>
    </row>
    <row r="16" spans="1:13">
      <c r="A16" s="3" t="s">
        <v>72</v>
      </c>
      <c r="B16" s="3" t="s">
        <v>4</v>
      </c>
      <c r="C16" s="3">
        <v>15</v>
      </c>
      <c r="D16" s="3" t="s">
        <v>112</v>
      </c>
      <c r="E16" s="3" t="s">
        <v>78</v>
      </c>
      <c r="F16" s="3">
        <v>3</v>
      </c>
      <c r="G16" s="3" t="s">
        <v>108</v>
      </c>
      <c r="H16" s="3" t="s">
        <v>113</v>
      </c>
      <c r="I16" s="3"/>
      <c r="J16" s="3" t="s">
        <v>80</v>
      </c>
      <c r="K16" s="4">
        <v>5</v>
      </c>
      <c r="L16" s="3"/>
      <c r="M16" s="3" t="s">
        <v>109</v>
      </c>
    </row>
    <row r="17" spans="1:13">
      <c r="A17" s="3" t="s">
        <v>72</v>
      </c>
      <c r="B17" s="3" t="s">
        <v>4</v>
      </c>
      <c r="C17" s="3">
        <v>16</v>
      </c>
      <c r="D17" s="3" t="s">
        <v>114</v>
      </c>
      <c r="E17" s="3" t="s">
        <v>78</v>
      </c>
      <c r="F17" s="3">
        <v>3</v>
      </c>
      <c r="G17" s="3" t="s">
        <v>108</v>
      </c>
      <c r="H17" s="3" t="s">
        <v>115</v>
      </c>
      <c r="I17" s="3"/>
      <c r="J17" s="3" t="s">
        <v>116</v>
      </c>
      <c r="K17" s="4">
        <v>20</v>
      </c>
      <c r="L17" s="3"/>
      <c r="M17" s="3" t="s">
        <v>109</v>
      </c>
    </row>
    <row r="18" spans="1:13">
      <c r="A18" s="3" t="s">
        <v>72</v>
      </c>
      <c r="B18" s="3" t="s">
        <v>4</v>
      </c>
      <c r="C18" s="3">
        <v>17</v>
      </c>
      <c r="D18" s="3" t="s">
        <v>117</v>
      </c>
      <c r="E18" s="3" t="s">
        <v>78</v>
      </c>
      <c r="F18" s="3">
        <v>3</v>
      </c>
      <c r="G18" s="3" t="s">
        <v>108</v>
      </c>
      <c r="H18" s="3" t="s">
        <v>118</v>
      </c>
      <c r="I18" s="3"/>
      <c r="J18" s="3" t="s">
        <v>80</v>
      </c>
      <c r="K18" s="4">
        <v>5</v>
      </c>
      <c r="L18" s="3"/>
      <c r="M18" s="3" t="s">
        <v>76</v>
      </c>
    </row>
    <row r="19" spans="1:13">
      <c r="A19" s="3" t="s">
        <v>72</v>
      </c>
      <c r="B19" s="3" t="s">
        <v>4</v>
      </c>
      <c r="C19" s="3">
        <v>18</v>
      </c>
      <c r="D19" s="3" t="s">
        <v>119</v>
      </c>
      <c r="E19" s="3" t="s">
        <v>78</v>
      </c>
      <c r="F19" s="3">
        <v>3</v>
      </c>
      <c r="G19" s="3" t="s">
        <v>108</v>
      </c>
      <c r="H19" s="3" t="s">
        <v>120</v>
      </c>
      <c r="I19" s="3"/>
      <c r="J19" s="3" t="s">
        <v>121</v>
      </c>
      <c r="K19" s="4">
        <v>7</v>
      </c>
      <c r="L19" s="3"/>
      <c r="M19" s="3" t="s">
        <v>76</v>
      </c>
    </row>
    <row r="20" spans="1:13">
      <c r="A20" s="3" t="s">
        <v>72</v>
      </c>
      <c r="B20" s="3" t="s">
        <v>4</v>
      </c>
      <c r="C20" s="3">
        <v>19</v>
      </c>
      <c r="D20" s="3" t="s">
        <v>122</v>
      </c>
      <c r="E20" s="3" t="s">
        <v>74</v>
      </c>
      <c r="F20" s="3">
        <v>4</v>
      </c>
      <c r="G20" s="3" t="s">
        <v>123</v>
      </c>
      <c r="H20" s="3" t="s">
        <v>123</v>
      </c>
      <c r="I20" s="3"/>
      <c r="J20" s="3"/>
      <c r="K20" s="4">
        <v>0</v>
      </c>
      <c r="L20" s="3"/>
      <c r="M20" s="3" t="s">
        <v>124</v>
      </c>
    </row>
    <row r="21" spans="1:13">
      <c r="A21" s="3" t="s">
        <v>72</v>
      </c>
      <c r="B21" s="3" t="s">
        <v>4</v>
      </c>
      <c r="C21" s="3">
        <v>20</v>
      </c>
      <c r="D21" s="3" t="s">
        <v>125</v>
      </c>
      <c r="E21" s="3" t="s">
        <v>78</v>
      </c>
      <c r="F21" s="3">
        <v>4</v>
      </c>
      <c r="G21" s="3" t="s">
        <v>123</v>
      </c>
      <c r="H21" s="3" t="s">
        <v>126</v>
      </c>
      <c r="I21" s="3"/>
      <c r="J21" s="3" t="s">
        <v>80</v>
      </c>
      <c r="K21" s="4">
        <v>5</v>
      </c>
      <c r="L21" s="3" t="s">
        <v>127</v>
      </c>
      <c r="M21" s="3" t="s">
        <v>124</v>
      </c>
    </row>
    <row r="22" spans="1:13">
      <c r="A22" s="3" t="s">
        <v>72</v>
      </c>
      <c r="B22" s="3" t="s">
        <v>4</v>
      </c>
      <c r="C22" s="3">
        <v>21</v>
      </c>
      <c r="D22" s="3" t="s">
        <v>128</v>
      </c>
      <c r="E22" s="3" t="s">
        <v>78</v>
      </c>
      <c r="F22" s="3">
        <v>4</v>
      </c>
      <c r="G22" s="3" t="s">
        <v>123</v>
      </c>
      <c r="H22" s="3" t="s">
        <v>111</v>
      </c>
      <c r="I22" s="3"/>
      <c r="J22" s="3" t="s">
        <v>129</v>
      </c>
      <c r="K22" s="4">
        <v>4</v>
      </c>
      <c r="L22" s="3"/>
      <c r="M22" s="3" t="s">
        <v>76</v>
      </c>
    </row>
    <row r="23" spans="1:13">
      <c r="A23" s="3" t="s">
        <v>72</v>
      </c>
      <c r="B23" s="3" t="s">
        <v>4</v>
      </c>
      <c r="C23" s="3">
        <v>22</v>
      </c>
      <c r="D23" s="3" t="s">
        <v>130</v>
      </c>
      <c r="E23" s="3" t="s">
        <v>78</v>
      </c>
      <c r="F23" s="3">
        <v>4</v>
      </c>
      <c r="G23" s="3" t="s">
        <v>123</v>
      </c>
      <c r="H23" s="3" t="s">
        <v>131</v>
      </c>
      <c r="I23" s="3"/>
      <c r="J23" s="3" t="s">
        <v>132</v>
      </c>
      <c r="K23" s="4">
        <v>8</v>
      </c>
      <c r="L23" s="3"/>
      <c r="M23" s="3" t="s">
        <v>101</v>
      </c>
    </row>
    <row r="24" spans="1:13">
      <c r="A24" s="3" t="s">
        <v>72</v>
      </c>
      <c r="B24" s="3" t="s">
        <v>4</v>
      </c>
      <c r="C24" s="3">
        <v>23</v>
      </c>
      <c r="D24" s="3" t="s">
        <v>133</v>
      </c>
      <c r="E24" s="3" t="s">
        <v>78</v>
      </c>
      <c r="F24" s="3">
        <v>4</v>
      </c>
      <c r="G24" s="3" t="s">
        <v>123</v>
      </c>
      <c r="H24" s="3" t="s">
        <v>134</v>
      </c>
      <c r="I24" s="3"/>
      <c r="J24" s="3" t="s">
        <v>89</v>
      </c>
      <c r="K24" s="4">
        <v>3</v>
      </c>
      <c r="L24" s="3"/>
      <c r="M24" s="3" t="s">
        <v>109</v>
      </c>
    </row>
    <row r="25" spans="1:13">
      <c r="A25" s="3" t="s">
        <v>72</v>
      </c>
      <c r="B25" s="3" t="s">
        <v>4</v>
      </c>
      <c r="C25" s="3">
        <v>24</v>
      </c>
      <c r="D25" s="3" t="s">
        <v>135</v>
      </c>
      <c r="E25" s="3" t="s">
        <v>78</v>
      </c>
      <c r="F25" s="3">
        <v>4</v>
      </c>
      <c r="G25" s="3" t="s">
        <v>123</v>
      </c>
      <c r="H25" s="3" t="s">
        <v>136</v>
      </c>
      <c r="I25" s="3"/>
      <c r="J25" s="3" t="s">
        <v>89</v>
      </c>
      <c r="K25" s="4">
        <v>3</v>
      </c>
      <c r="L25" s="3"/>
      <c r="M25" s="3" t="s">
        <v>109</v>
      </c>
    </row>
    <row r="26" spans="1:13">
      <c r="A26" s="3" t="s">
        <v>72</v>
      </c>
      <c r="B26" s="3" t="s">
        <v>4</v>
      </c>
      <c r="C26" s="3">
        <v>25</v>
      </c>
      <c r="D26" s="3" t="s">
        <v>137</v>
      </c>
      <c r="E26" s="3" t="s">
        <v>78</v>
      </c>
      <c r="F26" s="3">
        <v>4</v>
      </c>
      <c r="G26" s="3" t="s">
        <v>123</v>
      </c>
      <c r="H26" s="3" t="s">
        <v>138</v>
      </c>
      <c r="I26" s="3"/>
      <c r="J26" s="3" t="s">
        <v>89</v>
      </c>
      <c r="K26" s="4">
        <v>3</v>
      </c>
      <c r="L26" s="3"/>
      <c r="M26" s="3" t="s">
        <v>76</v>
      </c>
    </row>
    <row r="27" spans="1:13">
      <c r="A27" s="3" t="s">
        <v>72</v>
      </c>
      <c r="B27" s="3" t="s">
        <v>4</v>
      </c>
      <c r="C27" s="3">
        <v>26</v>
      </c>
      <c r="D27" s="3" t="s">
        <v>139</v>
      </c>
      <c r="E27" s="3" t="s">
        <v>78</v>
      </c>
      <c r="F27" s="3">
        <v>4</v>
      </c>
      <c r="G27" s="3" t="s">
        <v>123</v>
      </c>
      <c r="H27" s="3" t="s">
        <v>140</v>
      </c>
      <c r="I27" s="3"/>
      <c r="J27" s="3" t="s">
        <v>89</v>
      </c>
      <c r="K27" s="4">
        <v>3</v>
      </c>
      <c r="L27" s="3"/>
      <c r="M27" s="3" t="s">
        <v>76</v>
      </c>
    </row>
    <row r="28" spans="1:13">
      <c r="A28" s="3" t="s">
        <v>72</v>
      </c>
      <c r="B28" s="3" t="s">
        <v>4</v>
      </c>
      <c r="C28" s="3">
        <v>27</v>
      </c>
      <c r="D28" s="3" t="s">
        <v>141</v>
      </c>
      <c r="E28" s="3" t="s">
        <v>78</v>
      </c>
      <c r="F28" s="3">
        <v>4</v>
      </c>
      <c r="G28" s="3" t="s">
        <v>123</v>
      </c>
      <c r="H28" s="3" t="s">
        <v>142</v>
      </c>
      <c r="I28" s="3"/>
      <c r="J28" s="3" t="s">
        <v>89</v>
      </c>
      <c r="K28" s="4">
        <v>3</v>
      </c>
      <c r="L28" s="3"/>
      <c r="M28" s="3" t="s">
        <v>76</v>
      </c>
    </row>
    <row r="29" spans="1:13">
      <c r="A29" s="3" t="s">
        <v>72</v>
      </c>
      <c r="B29" s="3" t="s">
        <v>4</v>
      </c>
      <c r="C29" s="3">
        <v>28</v>
      </c>
      <c r="D29" s="3" t="s">
        <v>143</v>
      </c>
      <c r="E29" s="3" t="s">
        <v>78</v>
      </c>
      <c r="F29" s="3">
        <v>4</v>
      </c>
      <c r="G29" s="3" t="s">
        <v>123</v>
      </c>
      <c r="H29" s="3" t="s">
        <v>144</v>
      </c>
      <c r="I29" s="3"/>
      <c r="J29" s="3" t="s">
        <v>86</v>
      </c>
      <c r="K29" s="4">
        <v>1</v>
      </c>
      <c r="L29" s="3"/>
      <c r="M29" s="3" t="s">
        <v>76</v>
      </c>
    </row>
    <row r="30" spans="1:13">
      <c r="A30" s="3" t="s">
        <v>72</v>
      </c>
      <c r="B30" s="3" t="s">
        <v>4</v>
      </c>
      <c r="C30" s="3">
        <v>29</v>
      </c>
      <c r="D30" s="3" t="s">
        <v>145</v>
      </c>
      <c r="E30" s="3" t="s">
        <v>78</v>
      </c>
      <c r="F30" s="3">
        <v>4</v>
      </c>
      <c r="G30" s="3" t="s">
        <v>123</v>
      </c>
      <c r="H30" s="3" t="s">
        <v>146</v>
      </c>
      <c r="I30" s="3"/>
      <c r="J30" s="3" t="s">
        <v>132</v>
      </c>
      <c r="K30" s="4">
        <v>8</v>
      </c>
      <c r="L30" s="3"/>
      <c r="M30" s="3" t="s">
        <v>76</v>
      </c>
    </row>
    <row r="31" spans="1:13">
      <c r="A31" s="3" t="s">
        <v>72</v>
      </c>
      <c r="B31" s="3" t="s">
        <v>4</v>
      </c>
      <c r="C31" s="3">
        <v>30</v>
      </c>
      <c r="D31" s="3" t="s">
        <v>147</v>
      </c>
      <c r="E31" s="3" t="s">
        <v>74</v>
      </c>
      <c r="F31" s="3">
        <v>5</v>
      </c>
      <c r="G31" s="3" t="s">
        <v>148</v>
      </c>
      <c r="H31" s="3" t="s">
        <v>148</v>
      </c>
      <c r="I31" s="3"/>
      <c r="J31" s="3"/>
      <c r="K31" s="4">
        <v>0</v>
      </c>
      <c r="L31" s="3"/>
      <c r="M31" s="3" t="s">
        <v>76</v>
      </c>
    </row>
    <row r="32" spans="1:13">
      <c r="A32" s="3" t="s">
        <v>72</v>
      </c>
      <c r="B32" s="3" t="s">
        <v>4</v>
      </c>
      <c r="C32" s="3">
        <v>31</v>
      </c>
      <c r="D32" s="3" t="s">
        <v>149</v>
      </c>
      <c r="E32" s="3" t="s">
        <v>78</v>
      </c>
      <c r="F32" s="3">
        <v>5</v>
      </c>
      <c r="G32" s="3" t="s">
        <v>148</v>
      </c>
      <c r="H32" s="3" t="s">
        <v>150</v>
      </c>
      <c r="I32" s="3"/>
      <c r="J32" s="3" t="s">
        <v>80</v>
      </c>
      <c r="K32" s="4">
        <v>5</v>
      </c>
      <c r="L32" s="3"/>
      <c r="M32" s="3" t="s">
        <v>76</v>
      </c>
    </row>
    <row r="33" spans="1:13">
      <c r="A33" s="3" t="s">
        <v>72</v>
      </c>
      <c r="B33" s="3" t="s">
        <v>4</v>
      </c>
      <c r="C33" s="3">
        <v>32</v>
      </c>
      <c r="D33" s="3" t="s">
        <v>151</v>
      </c>
      <c r="E33" s="3" t="s">
        <v>78</v>
      </c>
      <c r="F33" s="3">
        <v>5</v>
      </c>
      <c r="G33" s="3" t="s">
        <v>148</v>
      </c>
      <c r="H33" s="3" t="s">
        <v>152</v>
      </c>
      <c r="I33" s="3"/>
      <c r="J33" s="3" t="s">
        <v>86</v>
      </c>
      <c r="K33" s="4">
        <v>1</v>
      </c>
      <c r="L33" s="3"/>
      <c r="M33" s="3" t="s">
        <v>76</v>
      </c>
    </row>
    <row r="34" spans="1:13" ht="26.4">
      <c r="A34" s="3" t="s">
        <v>153</v>
      </c>
      <c r="B34" s="3" t="s">
        <v>154</v>
      </c>
      <c r="C34" s="3">
        <v>1</v>
      </c>
      <c r="D34" s="3" t="s">
        <v>73</v>
      </c>
      <c r="E34" s="3" t="s">
        <v>74</v>
      </c>
      <c r="F34" s="3">
        <v>1</v>
      </c>
      <c r="G34" s="3" t="s">
        <v>155</v>
      </c>
      <c r="H34" s="3" t="s">
        <v>155</v>
      </c>
      <c r="I34" s="3"/>
      <c r="J34" s="3"/>
      <c r="K34" s="4">
        <v>0</v>
      </c>
      <c r="L34" s="3"/>
      <c r="M34" s="3" t="s">
        <v>76</v>
      </c>
    </row>
    <row r="35" spans="1:13" ht="26.4">
      <c r="A35" s="3" t="s">
        <v>153</v>
      </c>
      <c r="B35" s="3" t="s">
        <v>154</v>
      </c>
      <c r="C35" s="3">
        <v>2</v>
      </c>
      <c r="D35" s="3" t="s">
        <v>77</v>
      </c>
      <c r="E35" s="3" t="s">
        <v>78</v>
      </c>
      <c r="F35" s="3">
        <v>1</v>
      </c>
      <c r="G35" s="3" t="s">
        <v>155</v>
      </c>
      <c r="H35" s="3" t="s">
        <v>79</v>
      </c>
      <c r="I35" s="3"/>
      <c r="J35" s="3" t="s">
        <v>156</v>
      </c>
      <c r="K35" s="4">
        <v>10</v>
      </c>
      <c r="L35" s="3" t="s">
        <v>81</v>
      </c>
      <c r="M35" s="3" t="s">
        <v>76</v>
      </c>
    </row>
    <row r="36" spans="1:13" ht="26.4">
      <c r="A36" s="3" t="s">
        <v>153</v>
      </c>
      <c r="B36" s="3" t="s">
        <v>154</v>
      </c>
      <c r="C36" s="3">
        <v>3</v>
      </c>
      <c r="D36" s="3" t="s">
        <v>82</v>
      </c>
      <c r="E36" s="3" t="s">
        <v>78</v>
      </c>
      <c r="F36" s="3">
        <v>1</v>
      </c>
      <c r="G36" s="3" t="s">
        <v>155</v>
      </c>
      <c r="H36" s="3" t="s">
        <v>83</v>
      </c>
      <c r="I36" s="3" t="s">
        <v>157</v>
      </c>
      <c r="J36" s="3" t="s">
        <v>80</v>
      </c>
      <c r="K36" s="4">
        <v>5</v>
      </c>
      <c r="L36" s="3" t="s">
        <v>81</v>
      </c>
      <c r="M36" s="3" t="s">
        <v>76</v>
      </c>
    </row>
    <row r="37" spans="1:13" ht="26.4">
      <c r="A37" s="3" t="s">
        <v>153</v>
      </c>
      <c r="B37" s="3" t="s">
        <v>154</v>
      </c>
      <c r="C37" s="3">
        <v>4</v>
      </c>
      <c r="D37" s="3" t="s">
        <v>84</v>
      </c>
      <c r="E37" s="3" t="s">
        <v>78</v>
      </c>
      <c r="F37" s="3">
        <v>1</v>
      </c>
      <c r="G37" s="3" t="s">
        <v>155</v>
      </c>
      <c r="H37" s="3" t="s">
        <v>85</v>
      </c>
      <c r="I37" s="3"/>
      <c r="J37" s="3" t="s">
        <v>86</v>
      </c>
      <c r="K37" s="4">
        <v>1</v>
      </c>
      <c r="L37" s="3"/>
      <c r="M37" s="3" t="s">
        <v>76</v>
      </c>
    </row>
    <row r="38" spans="1:13" ht="26.4">
      <c r="A38" s="3" t="s">
        <v>153</v>
      </c>
      <c r="B38" s="3" t="s">
        <v>154</v>
      </c>
      <c r="C38" s="3">
        <v>5</v>
      </c>
      <c r="D38" s="3" t="s">
        <v>87</v>
      </c>
      <c r="E38" s="3" t="s">
        <v>78</v>
      </c>
      <c r="F38" s="3">
        <v>1</v>
      </c>
      <c r="G38" s="3" t="s">
        <v>155</v>
      </c>
      <c r="H38" s="3" t="s">
        <v>88</v>
      </c>
      <c r="I38" s="3"/>
      <c r="J38" s="3" t="s">
        <v>89</v>
      </c>
      <c r="K38" s="4">
        <v>3</v>
      </c>
      <c r="L38" s="3"/>
      <c r="M38" s="3" t="s">
        <v>76</v>
      </c>
    </row>
    <row r="39" spans="1:13" ht="26.4">
      <c r="A39" s="3" t="s">
        <v>153</v>
      </c>
      <c r="B39" s="3" t="s">
        <v>154</v>
      </c>
      <c r="C39" s="3">
        <v>6</v>
      </c>
      <c r="D39" s="3" t="s">
        <v>90</v>
      </c>
      <c r="E39" s="3" t="s">
        <v>78</v>
      </c>
      <c r="F39" s="3">
        <v>1</v>
      </c>
      <c r="G39" s="3" t="s">
        <v>155</v>
      </c>
      <c r="H39" s="3" t="s">
        <v>158</v>
      </c>
      <c r="I39" s="3" t="s">
        <v>159</v>
      </c>
      <c r="J39" s="3" t="s">
        <v>129</v>
      </c>
      <c r="K39" s="4">
        <v>4</v>
      </c>
      <c r="L39" s="3"/>
      <c r="M39" s="3" t="s">
        <v>101</v>
      </c>
    </row>
    <row r="40" spans="1:13" ht="26.4">
      <c r="A40" s="3" t="s">
        <v>153</v>
      </c>
      <c r="B40" s="3" t="s">
        <v>154</v>
      </c>
      <c r="C40" s="3">
        <v>7</v>
      </c>
      <c r="D40" s="3" t="s">
        <v>93</v>
      </c>
      <c r="E40" s="3" t="s">
        <v>78</v>
      </c>
      <c r="F40" s="3">
        <v>1</v>
      </c>
      <c r="G40" s="3" t="s">
        <v>155</v>
      </c>
      <c r="H40" s="3" t="s">
        <v>94</v>
      </c>
      <c r="I40" s="3"/>
      <c r="J40" s="3" t="s">
        <v>92</v>
      </c>
      <c r="K40" s="4">
        <v>2</v>
      </c>
      <c r="L40" s="3"/>
      <c r="M40" s="3" t="s">
        <v>76</v>
      </c>
    </row>
    <row r="41" spans="1:13" ht="26.4">
      <c r="A41" s="3" t="s">
        <v>153</v>
      </c>
      <c r="B41" s="3" t="s">
        <v>154</v>
      </c>
      <c r="C41" s="3">
        <v>8</v>
      </c>
      <c r="D41" s="3" t="s">
        <v>160</v>
      </c>
      <c r="E41" s="3" t="s">
        <v>74</v>
      </c>
      <c r="F41" s="3">
        <v>2</v>
      </c>
      <c r="G41" s="3" t="s">
        <v>161</v>
      </c>
      <c r="H41" s="3" t="s">
        <v>161</v>
      </c>
      <c r="I41" s="3"/>
      <c r="J41" s="3"/>
      <c r="K41" s="4">
        <v>0</v>
      </c>
      <c r="L41" s="3"/>
      <c r="M41" s="3" t="s">
        <v>101</v>
      </c>
    </row>
    <row r="42" spans="1:13" ht="26.4">
      <c r="A42" s="3" t="s">
        <v>153</v>
      </c>
      <c r="B42" s="3" t="s">
        <v>154</v>
      </c>
      <c r="C42" s="3">
        <v>9</v>
      </c>
      <c r="D42" s="3" t="s">
        <v>162</v>
      </c>
      <c r="E42" s="3" t="s">
        <v>78</v>
      </c>
      <c r="F42" s="3">
        <v>2</v>
      </c>
      <c r="G42" s="3" t="s">
        <v>161</v>
      </c>
      <c r="H42" s="3" t="s">
        <v>163</v>
      </c>
      <c r="I42" s="3" t="s">
        <v>164</v>
      </c>
      <c r="J42" s="3" t="s">
        <v>89</v>
      </c>
      <c r="K42" s="4">
        <v>3</v>
      </c>
      <c r="L42" s="3"/>
      <c r="M42" s="3" t="s">
        <v>101</v>
      </c>
    </row>
    <row r="43" spans="1:13" ht="26.4">
      <c r="A43" s="3" t="s">
        <v>153</v>
      </c>
      <c r="B43" s="3" t="s">
        <v>154</v>
      </c>
      <c r="C43" s="3">
        <v>10</v>
      </c>
      <c r="D43" s="3" t="s">
        <v>165</v>
      </c>
      <c r="E43" s="3" t="s">
        <v>78</v>
      </c>
      <c r="F43" s="3">
        <v>2</v>
      </c>
      <c r="G43" s="3" t="s">
        <v>161</v>
      </c>
      <c r="H43" s="3" t="s">
        <v>166</v>
      </c>
      <c r="I43" s="3" t="s">
        <v>167</v>
      </c>
      <c r="J43" s="3" t="s">
        <v>168</v>
      </c>
      <c r="K43" s="4">
        <v>20</v>
      </c>
      <c r="L43" s="3" t="s">
        <v>169</v>
      </c>
      <c r="M43" s="3" t="s">
        <v>101</v>
      </c>
    </row>
    <row r="44" spans="1:13" ht="26.4">
      <c r="A44" s="3" t="s">
        <v>153</v>
      </c>
      <c r="B44" s="3" t="s">
        <v>154</v>
      </c>
      <c r="C44" s="3">
        <v>11</v>
      </c>
      <c r="D44" s="3" t="s">
        <v>170</v>
      </c>
      <c r="E44" s="3" t="s">
        <v>78</v>
      </c>
      <c r="F44" s="3">
        <v>2</v>
      </c>
      <c r="G44" s="3" t="s">
        <v>161</v>
      </c>
      <c r="H44" s="3" t="s">
        <v>171</v>
      </c>
      <c r="I44" s="3" t="s">
        <v>172</v>
      </c>
      <c r="J44" s="3" t="s">
        <v>80</v>
      </c>
      <c r="K44" s="4">
        <v>5</v>
      </c>
      <c r="L44" s="3"/>
      <c r="M44" s="3" t="s">
        <v>76</v>
      </c>
    </row>
    <row r="45" spans="1:13" ht="26.4">
      <c r="A45" s="3" t="s">
        <v>153</v>
      </c>
      <c r="B45" s="3" t="s">
        <v>154</v>
      </c>
      <c r="C45" s="3">
        <v>12</v>
      </c>
      <c r="D45" s="3" t="s">
        <v>173</v>
      </c>
      <c r="E45" s="3" t="s">
        <v>74</v>
      </c>
      <c r="F45" s="3">
        <v>3</v>
      </c>
      <c r="G45" s="3" t="s">
        <v>174</v>
      </c>
      <c r="H45" s="3" t="s">
        <v>174</v>
      </c>
      <c r="I45" s="3"/>
      <c r="J45" s="3"/>
      <c r="K45" s="4">
        <v>0</v>
      </c>
      <c r="L45" s="3"/>
      <c r="M45" s="3" t="s">
        <v>101</v>
      </c>
    </row>
    <row r="46" spans="1:13" ht="26.4">
      <c r="A46" s="3" t="s">
        <v>153</v>
      </c>
      <c r="B46" s="3" t="s">
        <v>154</v>
      </c>
      <c r="C46" s="3">
        <v>13</v>
      </c>
      <c r="D46" s="3" t="s">
        <v>175</v>
      </c>
      <c r="E46" s="3" t="s">
        <v>78</v>
      </c>
      <c r="F46" s="3">
        <v>3</v>
      </c>
      <c r="G46" s="3" t="s">
        <v>174</v>
      </c>
      <c r="H46" s="3" t="s">
        <v>176</v>
      </c>
      <c r="I46" s="3" t="s">
        <v>177</v>
      </c>
      <c r="J46" s="3" t="s">
        <v>89</v>
      </c>
      <c r="K46" s="4">
        <v>3</v>
      </c>
      <c r="L46" s="3"/>
      <c r="M46" s="3" t="s">
        <v>101</v>
      </c>
    </row>
    <row r="47" spans="1:13" ht="26.4">
      <c r="A47" s="3" t="s">
        <v>153</v>
      </c>
      <c r="B47" s="3" t="s">
        <v>154</v>
      </c>
      <c r="C47" s="3">
        <v>14</v>
      </c>
      <c r="D47" s="3" t="s">
        <v>178</v>
      </c>
      <c r="E47" s="3" t="s">
        <v>78</v>
      </c>
      <c r="F47" s="3">
        <v>3</v>
      </c>
      <c r="G47" s="3" t="s">
        <v>174</v>
      </c>
      <c r="H47" s="3" t="s">
        <v>179</v>
      </c>
      <c r="I47" s="3" t="s">
        <v>180</v>
      </c>
      <c r="J47" s="3" t="s">
        <v>168</v>
      </c>
      <c r="K47" s="4">
        <v>20</v>
      </c>
      <c r="L47" s="3" t="s">
        <v>169</v>
      </c>
      <c r="M47" s="3" t="s">
        <v>101</v>
      </c>
    </row>
    <row r="48" spans="1:13" ht="26.4">
      <c r="A48" s="3" t="s">
        <v>153</v>
      </c>
      <c r="B48" s="3" t="s">
        <v>154</v>
      </c>
      <c r="C48" s="3">
        <v>15</v>
      </c>
      <c r="D48" s="3" t="s">
        <v>125</v>
      </c>
      <c r="E48" s="3" t="s">
        <v>78</v>
      </c>
      <c r="F48" s="3">
        <v>3</v>
      </c>
      <c r="G48" s="3" t="s">
        <v>174</v>
      </c>
      <c r="H48" s="3" t="s">
        <v>126</v>
      </c>
      <c r="I48" s="3"/>
      <c r="J48" s="3" t="s">
        <v>181</v>
      </c>
      <c r="K48" s="4">
        <v>6</v>
      </c>
      <c r="L48" s="3" t="s">
        <v>127</v>
      </c>
      <c r="M48" s="3" t="s">
        <v>124</v>
      </c>
    </row>
    <row r="49" spans="1:13" ht="26.4">
      <c r="A49" s="3" t="s">
        <v>153</v>
      </c>
      <c r="B49" s="3" t="s">
        <v>154</v>
      </c>
      <c r="C49" s="3">
        <v>16</v>
      </c>
      <c r="D49" s="3" t="s">
        <v>122</v>
      </c>
      <c r="E49" s="3" t="s">
        <v>74</v>
      </c>
      <c r="F49" s="3">
        <v>4</v>
      </c>
      <c r="G49" s="3" t="s">
        <v>182</v>
      </c>
      <c r="H49" s="3" t="s">
        <v>182</v>
      </c>
      <c r="I49" s="3"/>
      <c r="J49" s="3"/>
      <c r="K49" s="4">
        <v>0</v>
      </c>
      <c r="L49" s="3"/>
      <c r="M49" s="3" t="s">
        <v>76</v>
      </c>
    </row>
    <row r="50" spans="1:13" ht="26.4">
      <c r="A50" s="3" t="s">
        <v>153</v>
      </c>
      <c r="B50" s="3" t="s">
        <v>154</v>
      </c>
      <c r="C50" s="3">
        <v>17</v>
      </c>
      <c r="D50" s="3" t="s">
        <v>130</v>
      </c>
      <c r="E50" s="3" t="s">
        <v>78</v>
      </c>
      <c r="F50" s="3">
        <v>4</v>
      </c>
      <c r="G50" s="3" t="s">
        <v>182</v>
      </c>
      <c r="H50" s="3" t="s">
        <v>131</v>
      </c>
      <c r="I50" s="3" t="s">
        <v>183</v>
      </c>
      <c r="J50" s="3" t="s">
        <v>156</v>
      </c>
      <c r="K50" s="4">
        <v>10</v>
      </c>
      <c r="L50" s="3"/>
      <c r="M50" s="3" t="s">
        <v>101</v>
      </c>
    </row>
    <row r="51" spans="1:13" ht="26.4">
      <c r="A51" s="3" t="s">
        <v>153</v>
      </c>
      <c r="B51" s="3" t="s">
        <v>154</v>
      </c>
      <c r="C51" s="3">
        <v>18</v>
      </c>
      <c r="D51" s="3" t="s">
        <v>139</v>
      </c>
      <c r="E51" s="3" t="s">
        <v>78</v>
      </c>
      <c r="F51" s="3">
        <v>4</v>
      </c>
      <c r="G51" s="3" t="s">
        <v>182</v>
      </c>
      <c r="H51" s="3" t="s">
        <v>140</v>
      </c>
      <c r="I51" s="3"/>
      <c r="J51" s="3" t="s">
        <v>89</v>
      </c>
      <c r="K51" s="4">
        <v>3</v>
      </c>
      <c r="L51" s="3"/>
      <c r="M51" s="3" t="s">
        <v>76</v>
      </c>
    </row>
    <row r="52" spans="1:13" ht="26.4">
      <c r="A52" s="3" t="s">
        <v>153</v>
      </c>
      <c r="B52" s="3" t="s">
        <v>154</v>
      </c>
      <c r="C52" s="3">
        <v>19</v>
      </c>
      <c r="D52" s="3" t="s">
        <v>141</v>
      </c>
      <c r="E52" s="3" t="s">
        <v>78</v>
      </c>
      <c r="F52" s="3">
        <v>4</v>
      </c>
      <c r="G52" s="3" t="s">
        <v>182</v>
      </c>
      <c r="H52" s="3" t="s">
        <v>142</v>
      </c>
      <c r="I52" s="3"/>
      <c r="J52" s="3" t="s">
        <v>89</v>
      </c>
      <c r="K52" s="4">
        <v>3</v>
      </c>
      <c r="L52" s="3"/>
      <c r="M52" s="3" t="s">
        <v>76</v>
      </c>
    </row>
    <row r="53" spans="1:13" ht="26.4">
      <c r="A53" s="3" t="s">
        <v>153</v>
      </c>
      <c r="B53" s="3" t="s">
        <v>154</v>
      </c>
      <c r="C53" s="3">
        <v>20</v>
      </c>
      <c r="D53" s="3" t="s">
        <v>143</v>
      </c>
      <c r="E53" s="3" t="s">
        <v>78</v>
      </c>
      <c r="F53" s="3">
        <v>4</v>
      </c>
      <c r="G53" s="3" t="s">
        <v>182</v>
      </c>
      <c r="H53" s="3" t="s">
        <v>144</v>
      </c>
      <c r="I53" s="3" t="s">
        <v>184</v>
      </c>
      <c r="J53" s="3" t="s">
        <v>92</v>
      </c>
      <c r="K53" s="4">
        <v>2</v>
      </c>
      <c r="L53" s="3"/>
      <c r="M53" s="3" t="s">
        <v>76</v>
      </c>
    </row>
    <row r="54" spans="1:13" ht="26.4">
      <c r="A54" s="3" t="s">
        <v>153</v>
      </c>
      <c r="B54" s="3" t="s">
        <v>154</v>
      </c>
      <c r="C54" s="3">
        <v>21</v>
      </c>
      <c r="D54" s="3" t="s">
        <v>145</v>
      </c>
      <c r="E54" s="3" t="s">
        <v>78</v>
      </c>
      <c r="F54" s="3">
        <v>4</v>
      </c>
      <c r="G54" s="3" t="s">
        <v>182</v>
      </c>
      <c r="H54" s="3" t="s">
        <v>146</v>
      </c>
      <c r="I54" s="3"/>
      <c r="J54" s="3" t="s">
        <v>132</v>
      </c>
      <c r="K54" s="4">
        <v>8</v>
      </c>
      <c r="L54" s="3"/>
      <c r="M54" s="3" t="s">
        <v>76</v>
      </c>
    </row>
    <row r="55" spans="1:13" ht="26.4">
      <c r="A55" s="3" t="s">
        <v>153</v>
      </c>
      <c r="B55" s="3" t="s">
        <v>154</v>
      </c>
      <c r="C55" s="3">
        <v>22</v>
      </c>
      <c r="D55" s="3" t="s">
        <v>185</v>
      </c>
      <c r="E55" s="3" t="s">
        <v>74</v>
      </c>
      <c r="F55" s="3">
        <v>5</v>
      </c>
      <c r="G55" s="3" t="s">
        <v>186</v>
      </c>
      <c r="H55" s="3" t="s">
        <v>186</v>
      </c>
      <c r="I55" s="3"/>
      <c r="J55" s="3"/>
      <c r="K55" s="4">
        <v>0</v>
      </c>
      <c r="L55" s="3"/>
      <c r="M55" s="3" t="s">
        <v>76</v>
      </c>
    </row>
    <row r="56" spans="1:13" ht="26.4">
      <c r="A56" s="3" t="s">
        <v>153</v>
      </c>
      <c r="B56" s="3" t="s">
        <v>154</v>
      </c>
      <c r="C56" s="3">
        <v>23</v>
      </c>
      <c r="D56" s="3" t="s">
        <v>149</v>
      </c>
      <c r="E56" s="3" t="s">
        <v>78</v>
      </c>
      <c r="F56" s="3">
        <v>5</v>
      </c>
      <c r="G56" s="3" t="s">
        <v>186</v>
      </c>
      <c r="H56" s="3" t="s">
        <v>150</v>
      </c>
      <c r="I56" s="3"/>
      <c r="J56" s="3" t="s">
        <v>132</v>
      </c>
      <c r="K56" s="4">
        <v>8</v>
      </c>
      <c r="L56" s="3"/>
      <c r="M56" s="3" t="s">
        <v>76</v>
      </c>
    </row>
    <row r="57" spans="1:13" ht="26.4">
      <c r="A57" s="3" t="s">
        <v>153</v>
      </c>
      <c r="B57" s="3" t="s">
        <v>154</v>
      </c>
      <c r="C57" s="3">
        <v>24</v>
      </c>
      <c r="D57" s="3" t="s">
        <v>151</v>
      </c>
      <c r="E57" s="3" t="s">
        <v>78</v>
      </c>
      <c r="F57" s="3">
        <v>5</v>
      </c>
      <c r="G57" s="3" t="s">
        <v>186</v>
      </c>
      <c r="H57" s="3" t="s">
        <v>152</v>
      </c>
      <c r="I57" s="3"/>
      <c r="J57" s="3" t="s">
        <v>129</v>
      </c>
      <c r="K57" s="4">
        <v>4</v>
      </c>
      <c r="L57" s="3"/>
      <c r="M57" s="3" t="s">
        <v>76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"/>
  <sheetViews>
    <sheetView showGridLines="0" workbookViewId="0"/>
  </sheetViews>
  <sheetFormatPr defaultRowHeight="13.8"/>
  <cols>
    <col min="1" max="1" width="23.69921875" customWidth="1"/>
    <col min="2" max="2" width="53.69921875" customWidth="1"/>
    <col min="3" max="3" width="2.69921875" customWidth="1"/>
    <col min="4" max="11" width="10.69921875" customWidth="1"/>
  </cols>
  <sheetData>
    <row r="1" spans="1:11" ht="22.5" customHeight="1">
      <c r="A1" s="1" t="s">
        <v>187</v>
      </c>
      <c r="B1" s="1" t="s">
        <v>53</v>
      </c>
      <c r="D1" s="84" t="s">
        <v>188</v>
      </c>
      <c r="E1" s="84"/>
      <c r="F1" s="84"/>
      <c r="G1" s="84"/>
      <c r="H1" s="84"/>
      <c r="I1" s="84"/>
      <c r="J1" s="84"/>
      <c r="K1" s="84"/>
    </row>
    <row r="2" spans="1:11" ht="22.5" customHeight="1">
      <c r="A2" s="5" t="s">
        <v>189</v>
      </c>
      <c r="B2" s="5" t="s">
        <v>190</v>
      </c>
    </row>
    <row r="3" spans="1:11" ht="22.5" customHeight="1">
      <c r="A3" s="5" t="s">
        <v>191</v>
      </c>
      <c r="B3" s="5" t="s">
        <v>48</v>
      </c>
    </row>
    <row r="4" spans="1:11" ht="46.5" customHeight="1">
      <c r="A4" s="5" t="s">
        <v>192</v>
      </c>
      <c r="B4" s="5" t="s">
        <v>193</v>
      </c>
    </row>
    <row r="5" spans="1:11" ht="46.5" customHeight="1">
      <c r="A5" s="5" t="s">
        <v>194</v>
      </c>
      <c r="B5" s="5" t="s">
        <v>195</v>
      </c>
    </row>
    <row r="6" spans="1:11" ht="22.5" customHeight="1">
      <c r="A6" s="5" t="s">
        <v>196</v>
      </c>
      <c r="B6" s="5" t="s">
        <v>197</v>
      </c>
    </row>
    <row r="7" spans="1:11" ht="22.5" customHeight="1">
      <c r="A7" s="5" t="s">
        <v>198</v>
      </c>
      <c r="B7" s="5" t="s">
        <v>199</v>
      </c>
      <c r="D7" s="12" t="s">
        <v>200</v>
      </c>
      <c r="E7" s="12"/>
      <c r="F7" s="12"/>
      <c r="G7" s="12" t="s">
        <v>58</v>
      </c>
      <c r="H7" s="12"/>
      <c r="I7" s="12" t="s">
        <v>59</v>
      </c>
      <c r="J7" s="12"/>
      <c r="K7" s="12" t="s">
        <v>201</v>
      </c>
    </row>
    <row r="8" spans="1:11" ht="22.5" customHeight="1">
      <c r="A8" s="5" t="s">
        <v>202</v>
      </c>
      <c r="B8" s="5" t="s">
        <v>203</v>
      </c>
    </row>
    <row r="9" spans="1:11" ht="22.5" customHeight="1">
      <c r="A9" s="5" t="s">
        <v>204</v>
      </c>
      <c r="B9" s="5" t="s">
        <v>205</v>
      </c>
    </row>
    <row r="10" spans="1:11" ht="22.5" customHeight="1">
      <c r="A10" s="5" t="s">
        <v>206</v>
      </c>
      <c r="B10" s="5" t="s">
        <v>207</v>
      </c>
    </row>
    <row r="11" spans="1:11" ht="22.5" customHeight="1">
      <c r="A11" s="5" t="s">
        <v>208</v>
      </c>
      <c r="B11" s="5" t="s">
        <v>209</v>
      </c>
    </row>
    <row r="12" spans="1:11" ht="22.5" customHeight="1">
      <c r="A12" s="5" t="s">
        <v>210</v>
      </c>
      <c r="B12" s="5" t="s">
        <v>211</v>
      </c>
    </row>
    <row r="13" spans="1:11" ht="22.5" customHeight="1">
      <c r="A13" s="5" t="s">
        <v>212</v>
      </c>
      <c r="B13" s="5" t="s">
        <v>213</v>
      </c>
    </row>
    <row r="14" spans="1:11" ht="54" customHeight="1">
      <c r="A14" s="5" t="s">
        <v>56</v>
      </c>
      <c r="B14" s="5" t="s">
        <v>214</v>
      </c>
    </row>
    <row r="15" spans="1:11" ht="54" customHeight="1"/>
    <row r="16" spans="1:11" ht="54" customHeight="1">
      <c r="A16" s="6" t="s">
        <v>215</v>
      </c>
      <c r="B16" s="7" t="s">
        <v>216</v>
      </c>
    </row>
    <row r="17" spans="1:2" ht="54" customHeight="1">
      <c r="A17" s="8" t="s">
        <v>217</v>
      </c>
      <c r="B17" s="9" t="s">
        <v>218</v>
      </c>
    </row>
    <row r="18" spans="1:2" ht="54" customHeight="1">
      <c r="A18" s="8" t="s">
        <v>219</v>
      </c>
      <c r="B18" s="9" t="s">
        <v>220</v>
      </c>
    </row>
    <row r="19" spans="1:2" ht="54" customHeight="1">
      <c r="A19" s="8" t="s">
        <v>221</v>
      </c>
      <c r="B19" s="9" t="s">
        <v>222</v>
      </c>
    </row>
    <row r="20" spans="1:2" ht="54" customHeight="1">
      <c r="A20" s="10" t="s">
        <v>223</v>
      </c>
      <c r="B20" s="11" t="s">
        <v>224</v>
      </c>
    </row>
  </sheetData>
  <mergeCells count="1">
    <mergeCell ref="D1:K1"/>
  </mergeCells>
  <phoneticPr fontId="20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2"/>
  <sheetViews>
    <sheetView showGridLines="0" workbookViewId="0"/>
  </sheetViews>
  <sheetFormatPr defaultRowHeight="13.8"/>
  <cols>
    <col min="1" max="1" width="13.5" style="88" customWidth="1"/>
    <col min="2" max="2" width="27.5" style="88" customWidth="1"/>
    <col min="3" max="3" width="26.19921875" style="88" customWidth="1"/>
    <col min="4" max="4" width="11" style="88" customWidth="1"/>
    <col min="5" max="5" width="27.5" style="88" customWidth="1"/>
    <col min="6" max="6" width="15.5" style="88" customWidth="1"/>
    <col min="7" max="7" width="8.19921875" style="88" customWidth="1"/>
    <col min="8" max="8" width="15" style="88" customWidth="1"/>
    <col min="9" max="9" width="21.19921875" style="88" customWidth="1"/>
    <col min="10" max="10" width="11.5" style="88" customWidth="1"/>
    <col min="11" max="11" width="9.69921875" style="88" customWidth="1"/>
    <col min="12" max="12" width="14" style="88" customWidth="1"/>
    <col min="13" max="13" width="13.69921875" style="88" customWidth="1"/>
    <col min="14" max="14" width="9.5" style="88" customWidth="1"/>
    <col min="15" max="16384" width="8.796875" style="88"/>
  </cols>
  <sheetData>
    <row r="1" spans="1:14" ht="19.8">
      <c r="A1" s="156" t="s">
        <v>225</v>
      </c>
      <c r="B1" s="156" t="s">
        <v>225</v>
      </c>
      <c r="C1" s="156" t="s">
        <v>226</v>
      </c>
      <c r="D1" s="156" t="s">
        <v>227</v>
      </c>
      <c r="E1" s="156" t="s">
        <v>228</v>
      </c>
      <c r="F1" s="156" t="s">
        <v>225</v>
      </c>
      <c r="G1" s="156" t="s">
        <v>225</v>
      </c>
      <c r="H1" s="156" t="s">
        <v>225</v>
      </c>
      <c r="I1" s="156" t="s">
        <v>225</v>
      </c>
      <c r="J1" s="156" t="s">
        <v>225</v>
      </c>
      <c r="K1" s="156" t="s">
        <v>225</v>
      </c>
      <c r="L1" s="156" t="s">
        <v>225</v>
      </c>
      <c r="M1" s="156" t="s">
        <v>225</v>
      </c>
      <c r="N1" s="156" t="s">
        <v>225</v>
      </c>
    </row>
    <row r="2" spans="1:14" ht="14.4">
      <c r="A2" s="117"/>
      <c r="B2" s="117" t="str">
        <f>_xlfn.LET(_xlpm.raw,操作台!$B$18,_xlpm.flat,TRIM(SUBSTITUTE(SUBSTITUTE(_xlpm.raw,CHAR(13)," "),CHAR(10)," ")),_xlpm.colon,SUBSTITUTE(_xlpm.flat,"：",":"),_xlpm.tight,SUBSTITUTE(SUBSTITUTE(_xlpm.colon," :",":"),": ",":"),_xlpm.tokens,SUBSTITUTE(SUBSTITUTE(SUBSTITUTE(SUBSTITUTE(SUBSTITUTE(SUBSTITUTE(SUBSTITUTE(SUBSTITUTE(SUBSTITUTE(SUBSTITUTE(SUBSTITUTE(SUBSTITUTE(SUBSTITUTE(SUBSTITUTE(SUBSTITUTE(SUBSTITUTE(SUBSTITUTE(SUBSTITUTE(SUBSTITUTE(SUBSTITUTE(SUBSTITUTE(SUBSTITUTE(SUBSTITUTE(SUBSTITUTE(_xlpm.tight,"主题:","|主题:"),"今日一词:","|今日一词:"),"例会经理:","|例会经理:"),"时间:","|时间:"),"地点:","|地点:"),"事务官开场:","|事务官开场:"),"主席致辞:","|主席致辞:"),"总主持:","|总主持:"),"来宾介绍:","|来宾介绍:"),"时间官:","|时间官:"),"哼哈官:","|哼哈官:"),"语法官:","|语法官:"),"提问官:","|提问官:"),"即兴主持:","|即兴主持:"),"备稿演讲1:","|备稿演讲1:"),"备稿演讲2:","|备稿演讲2:"),"备稿演讲3:","|备稿演讲3:"),"即兴点评:","|即兴点评:"),"备稿点评1:","|备稿点评1:"),"备稿点评2:","|备稿点评2:"),"备稿点评3:","|备稿点评3:"),"总点评:","|总点评:"),"颁奖&amp;真情分享:","|颁奖&amp;真情分享:"),"拍照侠:","|拍照侠:"),TRIM(SUBSTITUTE(_xlpm.tokens," |","|")))</f>
        <v>@所有人 [烟花]畅言779期报名帖[烟花]|主题:志愿者|今日一词:服务|例会经理:莫婷|时间:6月9日 19:30-21:30|地点:深圳南山•讯美科技3号楼4楼Space Max会议室|事务官开场:文星|主席致辞:卡卡|总主持:simon|来宾介绍:VPM|时间官:May|哼哈官:Jessica|语法官:莫婷|提问官:文星|即兴主持:莫婷|备稿演讲1:卡卡|备稿演讲2:史迪仔|备稿演讲3:[玫瑰]|即兴点评:女侠|备稿点评1:Jessica|备稿点评2:聪聪|备稿点评3:[玫瑰]|总点评:思玮|颁奖&amp;真情分享:卡卡|拍照侠:ALL</v>
      </c>
      <c r="C2" s="117" t="str">
        <f>IFERROR(_xlfn.XLOOKUP("时间",$A$5:$A$28,$B$5:$B$28,""),"")</f>
        <v>6月9日 19:30-21:30</v>
      </c>
      <c r="D2" s="117" t="s">
        <v>7</v>
      </c>
      <c r="E2" s="117" t="str">
        <f>IFERROR(_xlfn.TEXTBEFORE(_xlfn.TEXTAFTER($B$2,"畅言",-1),"期报名帖"),"")</f>
        <v>779</v>
      </c>
      <c r="F2" s="117"/>
      <c r="G2" s="117"/>
      <c r="H2" s="117"/>
      <c r="I2" s="117"/>
      <c r="J2" s="117"/>
      <c r="K2" s="117"/>
      <c r="L2" s="117"/>
      <c r="M2" s="117"/>
      <c r="N2" s="117"/>
    </row>
    <row r="3" spans="1:14" ht="14.4">
      <c r="A3" s="117"/>
      <c r="B3" s="117"/>
      <c r="C3" s="117"/>
      <c r="D3" s="117" t="s">
        <v>9</v>
      </c>
      <c r="E3" s="117" t="str">
        <f>IFERROR(_xlfn.XLOOKUP("主题",$A$5:$A$28,$B$5:$B$28,""),"")</f>
        <v>志愿者</v>
      </c>
      <c r="F3" s="117"/>
      <c r="G3" s="117"/>
      <c r="H3" s="117"/>
      <c r="I3" s="117"/>
      <c r="J3" s="117"/>
      <c r="K3" s="117"/>
      <c r="L3" s="117"/>
      <c r="M3" s="117"/>
      <c r="N3" s="117"/>
    </row>
    <row r="4" spans="1:14">
      <c r="A4" s="157" t="s">
        <v>229</v>
      </c>
      <c r="B4" s="157" t="s">
        <v>230</v>
      </c>
      <c r="C4" s="157"/>
      <c r="D4" s="157" t="s">
        <v>11</v>
      </c>
      <c r="E4" s="157" t="str">
        <f>IFERROR(_xlfn.XLOOKUP("今日一词",$A$5:$A$28,$B$5:$B$28,""),"")</f>
        <v>服务</v>
      </c>
      <c r="F4" s="157" t="s">
        <v>30</v>
      </c>
      <c r="G4" s="157" t="s">
        <v>31</v>
      </c>
      <c r="H4" s="157" t="s">
        <v>32</v>
      </c>
      <c r="I4" s="157" t="s">
        <v>66</v>
      </c>
      <c r="J4" s="157" t="s">
        <v>68</v>
      </c>
      <c r="K4" s="157" t="s">
        <v>69</v>
      </c>
      <c r="L4" s="157" t="s">
        <v>231</v>
      </c>
      <c r="M4" s="157" t="s">
        <v>55</v>
      </c>
      <c r="N4" s="157" t="s">
        <v>71</v>
      </c>
    </row>
    <row r="5" spans="1:14">
      <c r="A5" s="158" t="s">
        <v>9</v>
      </c>
      <c r="B5" s="159" t="str">
        <f>_xlfn.LET(_xlpm.token,$B$2&amp;"|",_xlpm.key,"|"&amp;A5&amp;":",_xlpm.clean,SUBSTITUTE(SUBSTITUTE(SUBSTITUTE(SUBSTITUTE(SUBSTITUTE(SUBSTITUTE(_xlpm.token,_xlpm.key&amp;"[玫瑰]"&amp;"|","|"),_xlpm.key&amp;"[烟花]"&amp;"|","|"),_xlpm.key&amp;"待报名"&amp;"|","|"),_xlpm.key&amp;"空"&amp;"|","|"),_xlpm.key&amp;"TBD"&amp;"|","|"),_xlpm.key&amp;"待定"&amp;"|","|"),_xlpm.value,IFERROR(TRIM(_xlfn.TEXTBEFORE(_xlfn.TEXTAFTER(_xlpm.clean,_xlpm.key,-1,0,0,""),"|",1,0,0,"")),""),IF(_xlpm.value="","待定",_xlpm.value))</f>
        <v>志愿者</v>
      </c>
      <c r="C5" s="159"/>
      <c r="D5" s="159" t="s">
        <v>13</v>
      </c>
      <c r="E5" s="159" t="str">
        <f>IFERROR(_xlfn.XLOOKUP("例会经理",$A$5:$A$28,$B$5:$B$28,""),"")</f>
        <v>莫婷</v>
      </c>
      <c r="F5" s="160" t="s">
        <v>232</v>
      </c>
      <c r="G5" s="160">
        <v>1</v>
      </c>
      <c r="H5" s="160" t="s">
        <v>75</v>
      </c>
      <c r="I5" s="160" t="s">
        <v>233</v>
      </c>
      <c r="J5" s="160" t="s">
        <v>86</v>
      </c>
      <c r="K5" s="160">
        <v>1</v>
      </c>
      <c r="L5" s="160" t="s">
        <v>233</v>
      </c>
      <c r="M5" s="160" t="str">
        <f>IF($L5="","待定",IFERROR(_xlfn.XLOOKUP($L5,$A$5:$A$28,$B$5:$B$28,"待定"),"待定"))</f>
        <v>文星</v>
      </c>
      <c r="N5" s="160" t="s">
        <v>76</v>
      </c>
    </row>
    <row r="6" spans="1:14">
      <c r="A6" s="161" t="s">
        <v>11</v>
      </c>
      <c r="B6" s="160" t="str">
        <f>_xlfn.LET(_xlpm.token,$B$2&amp;"|",_xlpm.key,"|"&amp;A6&amp;":",_xlpm.clean,SUBSTITUTE(SUBSTITUTE(SUBSTITUTE(SUBSTITUTE(SUBSTITUTE(SUBSTITUTE(_xlpm.token,_xlpm.key&amp;"[玫瑰]"&amp;"|","|"),_xlpm.key&amp;"[烟花]"&amp;"|","|"),_xlpm.key&amp;"待报名"&amp;"|","|"),_xlpm.key&amp;"空"&amp;"|","|"),_xlpm.key&amp;"TBD"&amp;"|","|"),_xlpm.key&amp;"待定"&amp;"|","|"),_xlpm.value,IFERROR(TRIM(_xlfn.TEXTBEFORE(_xlfn.TEXTAFTER(_xlpm.clean,_xlpm.key,-1,0,0,""),"|",1,0,0,"")),""),IF(_xlpm.value="","待定",_xlpm.value))</f>
        <v>服务</v>
      </c>
      <c r="C6" s="160"/>
      <c r="D6" s="160" t="s">
        <v>15</v>
      </c>
      <c r="E6" s="162">
        <f ca="1">_xlfn.LET(_xlpm.v,$C$2,_xlpm.dateText,TRIM(_xlfn.TEXTBEFORE(_xlpm.v," ")),_xlpm.y,IF(ISNUMBER(SEARCH("年",_xlpm.dateText)),--_xlfn.TEXTBEFORE(_xlpm.dateText,"年"),YEAR(TODAY())),_xlpm.md,IF(ISNUMBER(SEARCH("年",_xlpm.dateText)),_xlfn.TEXTAFTER(_xlpm.dateText,"年"),_xlpm.dateText),_xlpm.m,--_xlfn.TEXTBEFORE(_xlpm.md,"月"),_xlpm.d,--_xlfn.TEXTBEFORE(_xlfn.TEXTAFTER(_xlpm.md,"月"),"日"),IFERROR(DATE(_xlpm.y,_xlpm.m,_xlpm.d),""))</f>
        <v>46182</v>
      </c>
      <c r="F6" s="160" t="s">
        <v>234</v>
      </c>
      <c r="G6" s="160">
        <v>1</v>
      </c>
      <c r="H6" s="160" t="s">
        <v>75</v>
      </c>
      <c r="I6" s="160" t="s">
        <v>235</v>
      </c>
      <c r="J6" s="160" t="s">
        <v>89</v>
      </c>
      <c r="K6" s="160">
        <v>3</v>
      </c>
      <c r="L6" s="160" t="s">
        <v>235</v>
      </c>
      <c r="M6" s="160" t="str">
        <f>IF($L6="","待定",IFERROR(_xlfn.XLOOKUP($L6,$A$5:$A$28,$B$5:$B$28,"待定"),"待定"))</f>
        <v>卡卡</v>
      </c>
      <c r="N6" s="160" t="s">
        <v>76</v>
      </c>
    </row>
    <row r="7" spans="1:14">
      <c r="A7" s="161" t="s">
        <v>13</v>
      </c>
      <c r="B7" s="160" t="str">
        <f>_xlfn.LET(_xlpm.token,$B$2&amp;"|",_xlpm.key,"|"&amp;A7&amp;":",_xlpm.clean,SUBSTITUTE(SUBSTITUTE(SUBSTITUTE(SUBSTITUTE(SUBSTITUTE(SUBSTITUTE(_xlpm.token,_xlpm.key&amp;"[玫瑰]"&amp;"|","|"),_xlpm.key&amp;"[烟花]"&amp;"|","|"),_xlpm.key&amp;"待报名"&amp;"|","|"),_xlpm.key&amp;"空"&amp;"|","|"),_xlpm.key&amp;"TBD"&amp;"|","|"),_xlpm.key&amp;"待定"&amp;"|","|"),_xlpm.value,IFERROR(TRIM(_xlfn.TEXTBEFORE(_xlfn.TEXTAFTER(_xlpm.clean,_xlpm.key,-1,0,0,""),"|",1,0,0,"")),""),IF(_xlpm.value="","待定",_xlpm.value))</f>
        <v>莫婷</v>
      </c>
      <c r="C7" s="160"/>
      <c r="D7" s="160" t="s">
        <v>16</v>
      </c>
      <c r="E7" s="163">
        <f>_xlfn.LET(_xlpm.v,$C$2,_xlpm.clock,TRIM(_xlfn.TEXTAFTER(_xlpm.v," ",-1)),_xlpm.span,SUBSTITUTE(SUBSTITUTE(SUBSTITUTE(_xlpm.clock,"–","-"),"—","-"),"至","-"),_xlpm.t,TRIM(_xlfn.TEXTBEFORE(_xlpm.span,"-")),IFERROR(TIME(--_xlfn.TEXTBEFORE(_xlpm.t,":"),--_xlfn.TEXTAFTER(_xlpm.t,":"),0),""))</f>
        <v>0.8125</v>
      </c>
      <c r="F7" s="160" t="s">
        <v>236</v>
      </c>
      <c r="G7" s="160">
        <v>1</v>
      </c>
      <c r="H7" s="160" t="s">
        <v>75</v>
      </c>
      <c r="I7" s="160" t="s">
        <v>91</v>
      </c>
      <c r="J7" s="160" t="s">
        <v>89</v>
      </c>
      <c r="K7" s="160">
        <v>3</v>
      </c>
      <c r="L7" s="160" t="s">
        <v>237</v>
      </c>
      <c r="M7" s="160" t="str">
        <f>IF($L7="","待定",IFERROR(_xlfn.XLOOKUP($L7,$A$5:$A$28,$B$5:$B$28,"待定"),"待定"))</f>
        <v>simon</v>
      </c>
      <c r="N7" s="160" t="s">
        <v>76</v>
      </c>
    </row>
    <row r="8" spans="1:14">
      <c r="A8" s="161" t="s">
        <v>52</v>
      </c>
      <c r="B8" s="160" t="str">
        <f>_xlfn.LET(_xlpm.token,$B$2&amp;"|",_xlpm.key,"|"&amp;A8&amp;":",_xlpm.clean,SUBSTITUTE(SUBSTITUTE(SUBSTITUTE(SUBSTITUTE(SUBSTITUTE(SUBSTITUTE(_xlpm.token,_xlpm.key&amp;"[玫瑰]"&amp;"|","|"),_xlpm.key&amp;"[烟花]"&amp;"|","|"),_xlpm.key&amp;"待报名"&amp;"|","|"),_xlpm.key&amp;"空"&amp;"|","|"),_xlpm.key&amp;"TBD"&amp;"|","|"),_xlpm.key&amp;"待定"&amp;"|","|"),_xlpm.value,IFERROR(TRIM(_xlfn.TEXTBEFORE(_xlfn.TEXTAFTER(_xlpm.clean,_xlpm.key,-1,0,0,""),"|",1,0,0,"")),""),IF(_xlpm.value="","待定",_xlpm.value))</f>
        <v>6月9日 19:30-21:30</v>
      </c>
      <c r="C8" s="160"/>
      <c r="D8" s="160" t="s">
        <v>17</v>
      </c>
      <c r="E8" s="163">
        <f>_xlfn.LET(_xlpm.v,$C$2,_xlpm.clock,TRIM(_xlfn.TEXTAFTER(_xlpm.v," ",-1)),_xlpm.span,SUBSTITUTE(SUBSTITUTE(SUBSTITUTE(_xlpm.clock,"–","-"),"—","-"),"至","-"),_xlpm.t,TRIM(_xlfn.TEXTAFTER(_xlpm.span,"-",-1)),IFERROR(TIME(--_xlfn.TEXTBEFORE(_xlpm.t,":"),--_xlfn.TEXTAFTER(_xlpm.t,":"),0),""))</f>
        <v>0.89583333333333337</v>
      </c>
      <c r="F8" s="160" t="s">
        <v>238</v>
      </c>
      <c r="G8" s="160">
        <v>1</v>
      </c>
      <c r="H8" s="160" t="s">
        <v>75</v>
      </c>
      <c r="I8" s="160" t="s">
        <v>118</v>
      </c>
      <c r="J8" s="160" t="s">
        <v>80</v>
      </c>
      <c r="K8" s="160">
        <v>5</v>
      </c>
      <c r="L8" s="160" t="s">
        <v>118</v>
      </c>
      <c r="M8" s="160" t="str">
        <f>IF($L8="","待定",IFERROR(_xlfn.XLOOKUP($L8,$A$5:$A$28,$B$5:$B$28,"待定"),"待定"))</f>
        <v>VPM</v>
      </c>
      <c r="N8" s="160" t="s">
        <v>76</v>
      </c>
    </row>
    <row r="9" spans="1:14" ht="26.4">
      <c r="A9" s="161" t="s">
        <v>19</v>
      </c>
      <c r="B9" s="160" t="str">
        <f>_xlfn.LET(_xlpm.token,$B$2&amp;"|",_xlpm.key,"|"&amp;A9&amp;":",_xlpm.clean,SUBSTITUTE(SUBSTITUTE(SUBSTITUTE(SUBSTITUTE(SUBSTITUTE(SUBSTITUTE(_xlpm.token,_xlpm.key&amp;"[玫瑰]"&amp;"|","|"),_xlpm.key&amp;"[烟花]"&amp;"|","|"),_xlpm.key&amp;"待报名"&amp;"|","|"),_xlpm.key&amp;"空"&amp;"|","|"),_xlpm.key&amp;"TBD"&amp;"|","|"),_xlpm.key&amp;"待定"&amp;"|","|"),_xlpm.value,IFERROR(TRIM(_xlfn.TEXTBEFORE(_xlfn.TEXTAFTER(_xlpm.clean,_xlpm.key,-1,0,0,""),"|",1,0,0,"")),""),IF(_xlpm.value="","待定",_xlpm.value))</f>
        <v>深圳南山•讯美科技3号楼4楼Space Max会议室</v>
      </c>
      <c r="C9" s="160"/>
      <c r="D9" s="160" t="s">
        <v>19</v>
      </c>
      <c r="E9" s="160" t="str">
        <f>IFERROR(_xlfn.XLOOKUP("地点",$A$5:$A$28,$B$5:$B$28,""),"")</f>
        <v>深圳南山•讯美科技3号楼4楼Space Max会议室</v>
      </c>
      <c r="F9" s="160" t="s">
        <v>239</v>
      </c>
      <c r="G9" s="160">
        <v>1</v>
      </c>
      <c r="H9" s="160" t="s">
        <v>75</v>
      </c>
      <c r="I9" s="160" t="s">
        <v>94</v>
      </c>
      <c r="J9" s="160" t="s">
        <v>92</v>
      </c>
      <c r="K9" s="160">
        <v>2</v>
      </c>
      <c r="L9" s="160" t="s">
        <v>240</v>
      </c>
      <c r="M9" s="160" t="str">
        <f>IF($L9="","待定",IFERROR(_xlfn.XLOOKUP($L9,$A$5:$A$28,$B$5:$B$28,"待定"),"待定"))</f>
        <v>May</v>
      </c>
      <c r="N9" s="160" t="s">
        <v>76</v>
      </c>
    </row>
    <row r="10" spans="1:14" ht="26.4">
      <c r="A10" s="161" t="s">
        <v>233</v>
      </c>
      <c r="B10" s="160" t="str">
        <f>_xlfn.LET(_xlpm.token,$B$2&amp;"|",_xlpm.key,"|"&amp;A10&amp;":",_xlpm.clean,SUBSTITUTE(SUBSTITUTE(SUBSTITUTE(SUBSTITUTE(SUBSTITUTE(SUBSTITUTE(_xlpm.token,_xlpm.key&amp;"[玫瑰]"&amp;"|","|"),_xlpm.key&amp;"[烟花]"&amp;"|","|"),_xlpm.key&amp;"待报名"&amp;"|","|"),_xlpm.key&amp;"空"&amp;"|","|"),_xlpm.key&amp;"TBD"&amp;"|","|"),_xlpm.key&amp;"待定"&amp;"|","|"),_xlpm.value,IFERROR(TRIM(_xlfn.TEXTBEFORE(_xlfn.TEXTAFTER(_xlpm.clean,_xlpm.key,-1,0,0,""),"|",1,0,0,"")),""),IF(_xlpm.value="","待定",_xlpm.value))</f>
        <v>文星</v>
      </c>
      <c r="C10" s="160"/>
      <c r="D10" s="160"/>
      <c r="E10" s="160"/>
      <c r="F10" s="160" t="s">
        <v>241</v>
      </c>
      <c r="G10" s="160">
        <v>1</v>
      </c>
      <c r="H10" s="160" t="s">
        <v>75</v>
      </c>
      <c r="I10" s="160" t="s">
        <v>98</v>
      </c>
      <c r="J10" s="160" t="s">
        <v>92</v>
      </c>
      <c r="K10" s="160">
        <v>2</v>
      </c>
      <c r="L10" s="160" t="s">
        <v>242</v>
      </c>
      <c r="M10" s="160" t="str">
        <f>IF($L10="","待定",IFERROR(_xlfn.XLOOKUP($L10,$A$5:$A$28,$B$5:$B$28,"待定"),"待定"))</f>
        <v>莫婷</v>
      </c>
      <c r="N10" s="160" t="s">
        <v>76</v>
      </c>
    </row>
    <row r="11" spans="1:14">
      <c r="A11" s="161" t="s">
        <v>235</v>
      </c>
      <c r="B11" s="160" t="str">
        <f>_xlfn.LET(_xlpm.token,$B$2&amp;"|",_xlpm.key,"|"&amp;A11&amp;":",_xlpm.clean,SUBSTITUTE(SUBSTITUTE(SUBSTITUTE(SUBSTITUTE(SUBSTITUTE(SUBSTITUTE(_xlpm.token,_xlpm.key&amp;"[玫瑰]"&amp;"|","|"),_xlpm.key&amp;"[烟花]"&amp;"|","|"),_xlpm.key&amp;"待报名"&amp;"|","|"),_xlpm.key&amp;"空"&amp;"|","|"),_xlpm.key&amp;"TBD"&amp;"|","|"),_xlpm.key&amp;"待定"&amp;"|","|"),_xlpm.value,IFERROR(TRIM(_xlfn.TEXTBEFORE(_xlfn.TEXTAFTER(_xlpm.clean,_xlpm.key,-1,0,0,""),"|",1,0,0,"")),""),IF(_xlpm.value="","待定",_xlpm.value))</f>
        <v>卡卡</v>
      </c>
      <c r="C11" s="160"/>
      <c r="D11" s="160" t="s">
        <v>243</v>
      </c>
      <c r="E11" s="160" t="str">
        <f ca="1">IF(AND(E6&lt;&gt;"",TODAY()-E6&gt;180),"接龙日期距离当前日期较久，请确认年份是否正确。","")</f>
        <v/>
      </c>
      <c r="F11" s="160" t="s">
        <v>244</v>
      </c>
      <c r="G11" s="160">
        <v>1</v>
      </c>
      <c r="H11" s="160" t="s">
        <v>75</v>
      </c>
      <c r="I11" s="160" t="s">
        <v>96</v>
      </c>
      <c r="J11" s="160" t="s">
        <v>92</v>
      </c>
      <c r="K11" s="160">
        <v>2</v>
      </c>
      <c r="L11" s="160" t="s">
        <v>245</v>
      </c>
      <c r="M11" s="160" t="str">
        <f>IF($L11="","待定",IFERROR(_xlfn.XLOOKUP($L11,$A$5:$A$28,$B$5:$B$28,"待定"),"待定"))</f>
        <v>Jessica</v>
      </c>
      <c r="N11" s="160" t="s">
        <v>76</v>
      </c>
    </row>
    <row r="12" spans="1:14">
      <c r="A12" s="161" t="s">
        <v>237</v>
      </c>
      <c r="B12" s="160" t="str">
        <f>_xlfn.LET(_xlpm.token,$B$2&amp;"|",_xlpm.key,"|"&amp;A12&amp;":",_xlpm.clean,SUBSTITUTE(SUBSTITUTE(SUBSTITUTE(SUBSTITUTE(SUBSTITUTE(SUBSTITUTE(_xlpm.token,_xlpm.key&amp;"[玫瑰]"&amp;"|","|"),_xlpm.key&amp;"[烟花]"&amp;"|","|"),_xlpm.key&amp;"待报名"&amp;"|","|"),_xlpm.key&amp;"空"&amp;"|","|"),_xlpm.key&amp;"TBD"&amp;"|","|"),_xlpm.key&amp;"待定"&amp;"|","|"),_xlpm.value,IFERROR(TRIM(_xlfn.TEXTBEFORE(_xlfn.TEXTAFTER(_xlpm.clean,_xlpm.key,-1,0,0,""),"|",1,0,0,"")),""),IF(_xlpm.value="","待定",_xlpm.value))</f>
        <v>simon</v>
      </c>
      <c r="C12" s="160"/>
      <c r="D12" s="160" t="s">
        <v>246</v>
      </c>
      <c r="E12" s="160">
        <f>COUNTIF($B$5:$B$28,"&lt;&gt;待定")</f>
        <v>22</v>
      </c>
      <c r="F12" s="160" t="s">
        <v>247</v>
      </c>
      <c r="G12" s="160">
        <v>2</v>
      </c>
      <c r="H12" s="160" t="s">
        <v>100</v>
      </c>
      <c r="I12" s="160" t="s">
        <v>100</v>
      </c>
      <c r="J12" s="160" t="s">
        <v>248</v>
      </c>
      <c r="K12" s="160">
        <v>15</v>
      </c>
      <c r="L12" s="160" t="s">
        <v>249</v>
      </c>
      <c r="M12" s="160" t="str">
        <f>IF($L12="","待定",IFERROR(_xlfn.XLOOKUP($L12,$A$5:$A$28,$B$5:$B$28,"待定"),"待定"))</f>
        <v>莫婷</v>
      </c>
      <c r="N12" s="160" t="s">
        <v>101</v>
      </c>
    </row>
    <row r="13" spans="1:14">
      <c r="A13" s="161" t="s">
        <v>118</v>
      </c>
      <c r="B13" s="160" t="str">
        <f>_xlfn.LET(_xlpm.token,$B$2&amp;"|",_xlpm.key,"|"&amp;A13&amp;":",_xlpm.clean,SUBSTITUTE(SUBSTITUTE(SUBSTITUTE(SUBSTITUTE(SUBSTITUTE(SUBSTITUTE(_xlpm.token,_xlpm.key&amp;"[玫瑰]"&amp;"|","|"),_xlpm.key&amp;"[烟花]"&amp;"|","|"),_xlpm.key&amp;"待报名"&amp;"|","|"),_xlpm.key&amp;"空"&amp;"|","|"),_xlpm.key&amp;"TBD"&amp;"|","|"),_xlpm.key&amp;"待定"&amp;"|","|"),_xlpm.value,IFERROR(TRIM(_xlfn.TEXTBEFORE(_xlfn.TEXTAFTER(_xlpm.clean,_xlpm.key,-1,0,0,""),"|",1,0,0,"")),""),IF(_xlpm.value="","待定",_xlpm.value))</f>
        <v>VPM</v>
      </c>
      <c r="C13" s="160"/>
      <c r="D13" s="160" t="s">
        <v>250</v>
      </c>
      <c r="E13" s="160">
        <v>21</v>
      </c>
      <c r="F13" s="160" t="s">
        <v>251</v>
      </c>
      <c r="G13" s="160">
        <v>3</v>
      </c>
      <c r="H13" s="160" t="s">
        <v>108</v>
      </c>
      <c r="I13" s="160" t="s">
        <v>113</v>
      </c>
      <c r="J13" s="160" t="s">
        <v>252</v>
      </c>
      <c r="K13" s="160">
        <v>7</v>
      </c>
      <c r="L13" s="160" t="s">
        <v>113</v>
      </c>
      <c r="M13" s="160" t="str">
        <f>IF($L13="","待定",IFERROR(_xlfn.XLOOKUP($L13,$A$5:$A$28,$B$5:$B$28,"待定"),"待定"))</f>
        <v>卡卡</v>
      </c>
      <c r="N13" s="160" t="s">
        <v>109</v>
      </c>
    </row>
    <row r="14" spans="1:14">
      <c r="A14" s="161" t="s">
        <v>240</v>
      </c>
      <c r="B14" s="160" t="str">
        <f>_xlfn.LET(_xlpm.token,$B$2&amp;"|",_xlpm.key,"|"&amp;A14&amp;":",_xlpm.clean,SUBSTITUTE(SUBSTITUTE(SUBSTITUTE(SUBSTITUTE(SUBSTITUTE(SUBSTITUTE(_xlpm.token,_xlpm.key&amp;"[玫瑰]"&amp;"|","|"),_xlpm.key&amp;"[烟花]"&amp;"|","|"),_xlpm.key&amp;"待报名"&amp;"|","|"),_xlpm.key&amp;"空"&amp;"|","|"),_xlpm.key&amp;"TBD"&amp;"|","|"),_xlpm.key&amp;"待定"&amp;"|","|"),_xlpm.value,IFERROR(TRIM(_xlfn.TEXTBEFORE(_xlfn.TEXTAFTER(_xlpm.clean,_xlpm.key,-1,0,0,""),"|",1,0,0,"")),""),IF(_xlpm.value="","待定",_xlpm.value))</f>
        <v>May</v>
      </c>
      <c r="C14" s="160"/>
      <c r="D14" s="160" t="s">
        <v>253</v>
      </c>
      <c r="E14" s="160">
        <f>COUNTIF(议程编辑!$Q$4:$Q$63,"*负责人待定*")</f>
        <v>23</v>
      </c>
      <c r="F14" s="160" t="s">
        <v>254</v>
      </c>
      <c r="G14" s="160">
        <v>3</v>
      </c>
      <c r="H14" s="160" t="s">
        <v>108</v>
      </c>
      <c r="I14" s="160" t="s">
        <v>115</v>
      </c>
      <c r="J14" s="160" t="s">
        <v>252</v>
      </c>
      <c r="K14" s="160">
        <v>7</v>
      </c>
      <c r="L14" s="160" t="s">
        <v>115</v>
      </c>
      <c r="M14" s="160" t="str">
        <f>IF($L14="","待定",IFERROR(_xlfn.XLOOKUP($L14,$A$5:$A$28,$B$5:$B$28,"待定"),"待定"))</f>
        <v>史迪仔</v>
      </c>
      <c r="N14" s="160" t="s">
        <v>109</v>
      </c>
    </row>
    <row r="15" spans="1:14">
      <c r="A15" s="161" t="s">
        <v>245</v>
      </c>
      <c r="B15" s="160" t="str">
        <f>_xlfn.LET(_xlpm.token,$B$2&amp;"|",_xlpm.key,"|"&amp;A15&amp;":",_xlpm.clean,SUBSTITUTE(SUBSTITUTE(SUBSTITUTE(SUBSTITUTE(SUBSTITUTE(SUBSTITUTE(_xlpm.token,_xlpm.key&amp;"[玫瑰]"&amp;"|","|"),_xlpm.key&amp;"[烟花]"&amp;"|","|"),_xlpm.key&amp;"待报名"&amp;"|","|"),_xlpm.key&amp;"空"&amp;"|","|"),_xlpm.key&amp;"TBD"&amp;"|","|"),_xlpm.key&amp;"待定"&amp;"|","|"),_xlpm.value,IFERROR(TRIM(_xlfn.TEXTBEFORE(_xlfn.TEXTAFTER(_xlpm.clean,_xlpm.key,-1,0,0,""),"|",1,0,0,"")),""),IF(_xlpm.value="","待定",_xlpm.value))</f>
        <v>Jessica</v>
      </c>
      <c r="C15" s="160"/>
      <c r="D15" s="160" t="s">
        <v>255</v>
      </c>
      <c r="E15" s="160">
        <f>COUNTIF(议程编辑!$Q$4:$Q$63,"*排程*")</f>
        <v>0</v>
      </c>
      <c r="F15" s="160" t="s">
        <v>256</v>
      </c>
      <c r="G15" s="160">
        <v>3</v>
      </c>
      <c r="H15" s="160" t="s">
        <v>108</v>
      </c>
      <c r="I15" s="160" t="s">
        <v>257</v>
      </c>
      <c r="J15" s="160" t="s">
        <v>252</v>
      </c>
      <c r="K15" s="160">
        <v>7</v>
      </c>
      <c r="L15" s="160" t="s">
        <v>257</v>
      </c>
      <c r="M15" s="160" t="str">
        <f>IF($L15="","待定",IFERROR(_xlfn.XLOOKUP($L15,$A$5:$A$28,$B$5:$B$28,"待定"),"待定"))</f>
        <v>待定</v>
      </c>
      <c r="N15" s="160" t="s">
        <v>109</v>
      </c>
    </row>
    <row r="16" spans="1:14">
      <c r="A16" s="161" t="s">
        <v>242</v>
      </c>
      <c r="B16" s="160" t="str">
        <f>_xlfn.LET(_xlpm.token,$B$2&amp;"|",_xlpm.key,"|"&amp;A16&amp;":",_xlpm.clean,SUBSTITUTE(SUBSTITUTE(SUBSTITUTE(SUBSTITUTE(SUBSTITUTE(SUBSTITUTE(_xlpm.token,_xlpm.key&amp;"[玫瑰]"&amp;"|","|"),_xlpm.key&amp;"[烟花]"&amp;"|","|"),_xlpm.key&amp;"待报名"&amp;"|","|"),_xlpm.key&amp;"空"&amp;"|","|"),_xlpm.key&amp;"TBD"&amp;"|","|"),_xlpm.key&amp;"待定"&amp;"|","|"),_xlpm.value,IFERROR(TRIM(_xlfn.TEXTBEFORE(_xlfn.TEXTAFTER(_xlpm.clean,_xlpm.key,-1,0,0,""),"|",1,0,0,"")),""),IF(_xlpm.value="","待定",_xlpm.value))</f>
        <v>莫婷</v>
      </c>
      <c r="C16" s="160"/>
      <c r="D16" s="160" t="s">
        <v>258</v>
      </c>
      <c r="E16" s="164">
        <f>IFERROR(MAX(0,(MAX(议程编辑!$R$4:$R$63)-操作台!$J$10)*1440),0)</f>
        <v>0</v>
      </c>
      <c r="F16" s="160" t="s">
        <v>259</v>
      </c>
      <c r="G16" s="160">
        <v>4</v>
      </c>
      <c r="H16" s="160" t="s">
        <v>123</v>
      </c>
      <c r="I16" s="160" t="s">
        <v>126</v>
      </c>
      <c r="J16" s="160" t="s">
        <v>80</v>
      </c>
      <c r="K16" s="160">
        <v>5</v>
      </c>
      <c r="L16" s="160" t="s">
        <v>260</v>
      </c>
      <c r="M16" s="160" t="str">
        <f>IF($L16="","待定",IFERROR(_xlfn.XLOOKUP($L16,$A$5:$A$28,$B$5:$B$28,"待定"),"待定"))</f>
        <v>ALL</v>
      </c>
      <c r="N16" s="160" t="s">
        <v>124</v>
      </c>
    </row>
    <row r="17" spans="1:14" ht="26.4">
      <c r="A17" s="161" t="s">
        <v>261</v>
      </c>
      <c r="B17" s="160" t="str">
        <f>_xlfn.LET(_xlpm.token,$B$2&amp;"|",_xlpm.key,"|"&amp;A17&amp;":",_xlpm.clean,SUBSTITUTE(SUBSTITUTE(SUBSTITUTE(SUBSTITUTE(SUBSTITUTE(SUBSTITUTE(_xlpm.token,_xlpm.key&amp;"[玫瑰]"&amp;"|","|"),_xlpm.key&amp;"[烟花]"&amp;"|","|"),_xlpm.key&amp;"待报名"&amp;"|","|"),_xlpm.key&amp;"空"&amp;"|","|"),_xlpm.key&amp;"TBD"&amp;"|","|"),_xlpm.key&amp;"待定"&amp;"|","|"),_xlpm.value,IFERROR(TRIM(_xlfn.TEXTBEFORE(_xlfn.TEXTAFTER(_xlpm.clean,_xlpm.key,-1,0,0,""),"|",1,0,0,"")),""),IF(_xlpm.value="","待定",_xlpm.value))</f>
        <v>文星</v>
      </c>
      <c r="C17" s="160"/>
      <c r="D17" s="160"/>
      <c r="E17" s="160"/>
      <c r="F17" s="160" t="s">
        <v>262</v>
      </c>
      <c r="G17" s="160">
        <v>4</v>
      </c>
      <c r="H17" s="160" t="s">
        <v>123</v>
      </c>
      <c r="I17" s="160" t="s">
        <v>131</v>
      </c>
      <c r="J17" s="160" t="s">
        <v>80</v>
      </c>
      <c r="K17" s="160">
        <v>5</v>
      </c>
      <c r="L17" s="160" t="s">
        <v>131</v>
      </c>
      <c r="M17" s="160" t="str">
        <f>IF($L17="","待定",IFERROR(_xlfn.XLOOKUP($L17,$A$5:$A$28,$B$5:$B$28,"待定"),"待定"))</f>
        <v>女侠</v>
      </c>
      <c r="N17" s="160" t="s">
        <v>101</v>
      </c>
    </row>
    <row r="18" spans="1:14">
      <c r="A18" s="161" t="s">
        <v>249</v>
      </c>
      <c r="B18" s="160" t="str">
        <f>_xlfn.LET(_xlpm.token,$B$2&amp;"|",_xlpm.key,"|"&amp;A18&amp;":",_xlpm.clean,SUBSTITUTE(SUBSTITUTE(SUBSTITUTE(SUBSTITUTE(SUBSTITUTE(SUBSTITUTE(_xlpm.token,_xlpm.key&amp;"[玫瑰]"&amp;"|","|"),_xlpm.key&amp;"[烟花]"&amp;"|","|"),_xlpm.key&amp;"待报名"&amp;"|","|"),_xlpm.key&amp;"空"&amp;"|","|"),_xlpm.key&amp;"TBD"&amp;"|","|"),_xlpm.key&amp;"待定"&amp;"|","|"),_xlpm.value,IFERROR(TRIM(_xlfn.TEXTBEFORE(_xlfn.TEXTAFTER(_xlpm.clean,_xlpm.key,-1,0,0,""),"|",1,0,0,"")),""),IF(_xlpm.value="","待定",_xlpm.value))</f>
        <v>莫婷</v>
      </c>
      <c r="C18" s="160"/>
      <c r="D18" s="160"/>
      <c r="E18" s="160"/>
      <c r="F18" s="160" t="s">
        <v>263</v>
      </c>
      <c r="G18" s="160">
        <v>4</v>
      </c>
      <c r="H18" s="160" t="s">
        <v>123</v>
      </c>
      <c r="I18" s="160" t="s">
        <v>134</v>
      </c>
      <c r="J18" s="160" t="s">
        <v>89</v>
      </c>
      <c r="K18" s="160">
        <v>3</v>
      </c>
      <c r="L18" s="160" t="s">
        <v>134</v>
      </c>
      <c r="M18" s="160" t="str">
        <f>IF($L18="","待定",IFERROR(_xlfn.XLOOKUP($L18,$A$5:$A$28,$B$5:$B$28,"待定"),"待定"))</f>
        <v>Jessica</v>
      </c>
      <c r="N18" s="160" t="s">
        <v>109</v>
      </c>
    </row>
    <row r="19" spans="1:14">
      <c r="A19" s="161" t="s">
        <v>113</v>
      </c>
      <c r="B19" s="160" t="str">
        <f>_xlfn.LET(_xlpm.token,$B$2&amp;"|",_xlpm.key,"|"&amp;A19&amp;":",_xlpm.clean,SUBSTITUTE(SUBSTITUTE(SUBSTITUTE(SUBSTITUTE(SUBSTITUTE(SUBSTITUTE(_xlpm.token,_xlpm.key&amp;"[玫瑰]"&amp;"|","|"),_xlpm.key&amp;"[烟花]"&amp;"|","|"),_xlpm.key&amp;"待报名"&amp;"|","|"),_xlpm.key&amp;"空"&amp;"|","|"),_xlpm.key&amp;"TBD"&amp;"|","|"),_xlpm.key&amp;"待定"&amp;"|","|"),_xlpm.value,IFERROR(TRIM(_xlfn.TEXTBEFORE(_xlfn.TEXTAFTER(_xlpm.clean,_xlpm.key,-1,0,0,""),"|",1,0,0,"")),""),IF(_xlpm.value="","待定",_xlpm.value))</f>
        <v>卡卡</v>
      </c>
      <c r="C19" s="160"/>
      <c r="D19" s="160"/>
      <c r="E19" s="160"/>
      <c r="F19" s="160" t="s">
        <v>264</v>
      </c>
      <c r="G19" s="160">
        <v>4</v>
      </c>
      <c r="H19" s="160" t="s">
        <v>123</v>
      </c>
      <c r="I19" s="160" t="s">
        <v>136</v>
      </c>
      <c r="J19" s="160" t="s">
        <v>89</v>
      </c>
      <c r="K19" s="160">
        <v>3</v>
      </c>
      <c r="L19" s="160" t="s">
        <v>136</v>
      </c>
      <c r="M19" s="160" t="str">
        <f>IF($L19="","待定",IFERROR(_xlfn.XLOOKUP($L19,$A$5:$A$28,$B$5:$B$28,"待定"),"待定"))</f>
        <v>聪聪</v>
      </c>
      <c r="N19" s="160" t="s">
        <v>109</v>
      </c>
    </row>
    <row r="20" spans="1:14">
      <c r="A20" s="161" t="s">
        <v>115</v>
      </c>
      <c r="B20" s="160" t="str">
        <f>_xlfn.LET(_xlpm.token,$B$2&amp;"|",_xlpm.key,"|"&amp;A20&amp;":",_xlpm.clean,SUBSTITUTE(SUBSTITUTE(SUBSTITUTE(SUBSTITUTE(SUBSTITUTE(SUBSTITUTE(_xlpm.token,_xlpm.key&amp;"[玫瑰]"&amp;"|","|"),_xlpm.key&amp;"[烟花]"&amp;"|","|"),_xlpm.key&amp;"待报名"&amp;"|","|"),_xlpm.key&amp;"空"&amp;"|","|"),_xlpm.key&amp;"TBD"&amp;"|","|"),_xlpm.key&amp;"待定"&amp;"|","|"),_xlpm.value,IFERROR(TRIM(_xlfn.TEXTBEFORE(_xlfn.TEXTAFTER(_xlpm.clean,_xlpm.key,-1,0,0,""),"|",1,0,0,"")),""),IF(_xlpm.value="","待定",_xlpm.value))</f>
        <v>史迪仔</v>
      </c>
      <c r="C20" s="160"/>
      <c r="D20" s="160"/>
      <c r="E20" s="160"/>
      <c r="F20" s="160" t="s">
        <v>265</v>
      </c>
      <c r="G20" s="160">
        <v>4</v>
      </c>
      <c r="H20" s="160" t="s">
        <v>123</v>
      </c>
      <c r="I20" s="160" t="s">
        <v>266</v>
      </c>
      <c r="J20" s="160" t="s">
        <v>89</v>
      </c>
      <c r="K20" s="160">
        <v>3</v>
      </c>
      <c r="L20" s="160" t="s">
        <v>266</v>
      </c>
      <c r="M20" s="160" t="str">
        <f>IF($L20="","待定",IFERROR(_xlfn.XLOOKUP($L20,$A$5:$A$28,$B$5:$B$28,"待定"),"待定"))</f>
        <v>待定</v>
      </c>
      <c r="N20" s="160" t="s">
        <v>109</v>
      </c>
    </row>
    <row r="21" spans="1:14" ht="26.4">
      <c r="A21" s="161" t="s">
        <v>257</v>
      </c>
      <c r="B21" s="160" t="str">
        <f>_xlfn.LET(_xlpm.token,$B$2&amp;"|",_xlpm.key,"|"&amp;A21&amp;":",_xlpm.clean,SUBSTITUTE(SUBSTITUTE(SUBSTITUTE(SUBSTITUTE(SUBSTITUTE(SUBSTITUTE(_xlpm.token,_xlpm.key&amp;"[玫瑰]"&amp;"|","|"),_xlpm.key&amp;"[烟花]"&amp;"|","|"),_xlpm.key&amp;"待报名"&amp;"|","|"),_xlpm.key&amp;"空"&amp;"|","|"),_xlpm.key&amp;"TBD"&amp;"|","|"),_xlpm.key&amp;"待定"&amp;"|","|"),_xlpm.value,IFERROR(TRIM(_xlfn.TEXTBEFORE(_xlfn.TEXTAFTER(_xlpm.clean,_xlpm.key,-1,0,0,""),"|",1,0,0,"")),""),IF(_xlpm.value="","待定",_xlpm.value))</f>
        <v>待定</v>
      </c>
      <c r="C21" s="160"/>
      <c r="D21" s="160"/>
      <c r="E21" s="160"/>
      <c r="F21" s="160" t="s">
        <v>267</v>
      </c>
      <c r="G21" s="160">
        <v>4</v>
      </c>
      <c r="H21" s="160" t="s">
        <v>123</v>
      </c>
      <c r="I21" s="160" t="s">
        <v>138</v>
      </c>
      <c r="J21" s="160" t="s">
        <v>89</v>
      </c>
      <c r="K21" s="160">
        <v>3</v>
      </c>
      <c r="L21" s="160" t="s">
        <v>242</v>
      </c>
      <c r="M21" s="160" t="str">
        <f>IF($L21="","待定",IFERROR(_xlfn.XLOOKUP($L21,$A$5:$A$28,$B$5:$B$28,"待定"),"待定"))</f>
        <v>莫婷</v>
      </c>
      <c r="N21" s="160" t="s">
        <v>76</v>
      </c>
    </row>
    <row r="22" spans="1:14">
      <c r="A22" s="161" t="s">
        <v>131</v>
      </c>
      <c r="B22" s="160" t="str">
        <f>_xlfn.LET(_xlpm.token,$B$2&amp;"|",_xlpm.key,"|"&amp;A22&amp;":",_xlpm.clean,SUBSTITUTE(SUBSTITUTE(SUBSTITUTE(SUBSTITUTE(SUBSTITUTE(SUBSTITUTE(_xlpm.token,_xlpm.key&amp;"[玫瑰]"&amp;"|","|"),_xlpm.key&amp;"[烟花]"&amp;"|","|"),_xlpm.key&amp;"待报名"&amp;"|","|"),_xlpm.key&amp;"空"&amp;"|","|"),_xlpm.key&amp;"TBD"&amp;"|","|"),_xlpm.key&amp;"待定"&amp;"|","|"),_xlpm.value,IFERROR(TRIM(_xlfn.TEXTBEFORE(_xlfn.TEXTAFTER(_xlpm.clean,_xlpm.key,-1,0,0,""),"|",1,0,0,"")),""),IF(_xlpm.value="","待定",_xlpm.value))</f>
        <v>女侠</v>
      </c>
      <c r="C22" s="160"/>
      <c r="D22" s="160"/>
      <c r="E22" s="160"/>
      <c r="F22" s="160" t="s">
        <v>268</v>
      </c>
      <c r="G22" s="160">
        <v>4</v>
      </c>
      <c r="H22" s="160" t="s">
        <v>123</v>
      </c>
      <c r="I22" s="160" t="s">
        <v>140</v>
      </c>
      <c r="J22" s="160" t="s">
        <v>89</v>
      </c>
      <c r="K22" s="160">
        <v>3</v>
      </c>
      <c r="L22" s="160" t="s">
        <v>245</v>
      </c>
      <c r="M22" s="160" t="str">
        <f>IF($L22="","待定",IFERROR(_xlfn.XLOOKUP($L22,$A$5:$A$28,$B$5:$B$28,"待定"),"待定"))</f>
        <v>Jessica</v>
      </c>
      <c r="N22" s="160" t="s">
        <v>76</v>
      </c>
    </row>
    <row r="23" spans="1:14">
      <c r="A23" s="161" t="s">
        <v>134</v>
      </c>
      <c r="B23" s="160" t="str">
        <f>_xlfn.LET(_xlpm.token,$B$2&amp;"|",_xlpm.key,"|"&amp;A23&amp;":",_xlpm.clean,SUBSTITUTE(SUBSTITUTE(SUBSTITUTE(SUBSTITUTE(SUBSTITUTE(SUBSTITUTE(_xlpm.token,_xlpm.key&amp;"[玫瑰]"&amp;"|","|"),_xlpm.key&amp;"[烟花]"&amp;"|","|"),_xlpm.key&amp;"待报名"&amp;"|","|"),_xlpm.key&amp;"空"&amp;"|","|"),_xlpm.key&amp;"TBD"&amp;"|","|"),_xlpm.key&amp;"待定"&amp;"|","|"),_xlpm.value,IFERROR(TRIM(_xlfn.TEXTBEFORE(_xlfn.TEXTAFTER(_xlpm.clean,_xlpm.key,-1,0,0,""),"|",1,0,0,"")),""),IF(_xlpm.value="","待定",_xlpm.value))</f>
        <v>Jessica</v>
      </c>
      <c r="C23" s="160"/>
      <c r="D23" s="160"/>
      <c r="E23" s="160"/>
      <c r="F23" s="160" t="s">
        <v>269</v>
      </c>
      <c r="G23" s="160">
        <v>4</v>
      </c>
      <c r="H23" s="160" t="s">
        <v>123</v>
      </c>
      <c r="I23" s="160" t="s">
        <v>142</v>
      </c>
      <c r="J23" s="160" t="s">
        <v>89</v>
      </c>
      <c r="K23" s="160">
        <v>3</v>
      </c>
      <c r="L23" s="160" t="s">
        <v>240</v>
      </c>
      <c r="M23" s="160" t="str">
        <f>IF($L23="","待定",IFERROR(_xlfn.XLOOKUP($L23,$A$5:$A$28,$B$5:$B$28,"待定"),"待定"))</f>
        <v>May</v>
      </c>
      <c r="N23" s="160" t="s">
        <v>76</v>
      </c>
    </row>
    <row r="24" spans="1:14">
      <c r="A24" s="161" t="s">
        <v>136</v>
      </c>
      <c r="B24" s="160" t="str">
        <f>_xlfn.LET(_xlpm.token,$B$2&amp;"|",_xlpm.key,"|"&amp;A24&amp;":",_xlpm.clean,SUBSTITUTE(SUBSTITUTE(SUBSTITUTE(SUBSTITUTE(SUBSTITUTE(SUBSTITUTE(_xlpm.token,_xlpm.key&amp;"[玫瑰]"&amp;"|","|"),_xlpm.key&amp;"[烟花]"&amp;"|","|"),_xlpm.key&amp;"待报名"&amp;"|","|"),_xlpm.key&amp;"空"&amp;"|","|"),_xlpm.key&amp;"TBD"&amp;"|","|"),_xlpm.key&amp;"待定"&amp;"|","|"),_xlpm.value,IFERROR(TRIM(_xlfn.TEXTBEFORE(_xlfn.TEXTAFTER(_xlpm.clean,_xlpm.key,-1,0,0,""),"|",1,0,0,"")),""),IF(_xlpm.value="","待定",_xlpm.value))</f>
        <v>聪聪</v>
      </c>
      <c r="C24" s="160"/>
      <c r="D24" s="160"/>
      <c r="E24" s="160"/>
      <c r="F24" s="160" t="s">
        <v>270</v>
      </c>
      <c r="G24" s="160">
        <v>4</v>
      </c>
      <c r="H24" s="160" t="s">
        <v>123</v>
      </c>
      <c r="I24" s="160" t="s">
        <v>146</v>
      </c>
      <c r="J24" s="160" t="s">
        <v>132</v>
      </c>
      <c r="K24" s="160">
        <v>8</v>
      </c>
      <c r="L24" s="160" t="s">
        <v>146</v>
      </c>
      <c r="M24" s="160" t="str">
        <f>IF($L24="","待定",IFERROR(_xlfn.XLOOKUP($L24,$A$5:$A$28,$B$5:$B$28,"待定"),"待定"))</f>
        <v>思玮</v>
      </c>
      <c r="N24" s="160" t="s">
        <v>76</v>
      </c>
    </row>
    <row r="25" spans="1:14">
      <c r="A25" s="161" t="s">
        <v>266</v>
      </c>
      <c r="B25" s="160" t="str">
        <f>_xlfn.LET(_xlpm.token,$B$2&amp;"|",_xlpm.key,"|"&amp;A25&amp;":",_xlpm.clean,SUBSTITUTE(SUBSTITUTE(SUBSTITUTE(SUBSTITUTE(SUBSTITUTE(SUBSTITUTE(_xlpm.token,_xlpm.key&amp;"[玫瑰]"&amp;"|","|"),_xlpm.key&amp;"[烟花]"&amp;"|","|"),_xlpm.key&amp;"待报名"&amp;"|","|"),_xlpm.key&amp;"空"&amp;"|","|"),_xlpm.key&amp;"TBD"&amp;"|","|"),_xlpm.key&amp;"待定"&amp;"|","|"),_xlpm.value,IFERROR(TRIM(_xlfn.TEXTBEFORE(_xlfn.TEXTAFTER(_xlpm.clean,_xlpm.key,-1,0,0,""),"|",1,0,0,"")),""),IF(_xlpm.value="","待定",_xlpm.value))</f>
        <v>待定</v>
      </c>
      <c r="C25" s="160"/>
      <c r="D25" s="160"/>
      <c r="E25" s="160"/>
      <c r="F25" s="160" t="s">
        <v>271</v>
      </c>
      <c r="G25" s="160">
        <v>5</v>
      </c>
      <c r="H25" s="160" t="s">
        <v>148</v>
      </c>
      <c r="I25" s="160" t="s">
        <v>150</v>
      </c>
      <c r="J25" s="160" t="s">
        <v>80</v>
      </c>
      <c r="K25" s="160">
        <v>5</v>
      </c>
      <c r="L25" s="160" t="s">
        <v>150</v>
      </c>
      <c r="M25" s="160" t="str">
        <f>IF($L25="","待定",IFERROR(_xlfn.XLOOKUP($L25,$A$5:$A$28,$B$5:$B$28,"待定"),"待定"))</f>
        <v>卡卡</v>
      </c>
      <c r="N25" s="160" t="s">
        <v>109</v>
      </c>
    </row>
    <row r="26" spans="1:14">
      <c r="A26" s="161" t="s">
        <v>146</v>
      </c>
      <c r="B26" s="160" t="str">
        <f>_xlfn.LET(_xlpm.token,$B$2&amp;"|",_xlpm.key,"|"&amp;A26&amp;":",_xlpm.clean,SUBSTITUTE(SUBSTITUTE(SUBSTITUTE(SUBSTITUTE(SUBSTITUTE(SUBSTITUTE(_xlpm.token,_xlpm.key&amp;"[玫瑰]"&amp;"|","|"),_xlpm.key&amp;"[烟花]"&amp;"|","|"),_xlpm.key&amp;"待报名"&amp;"|","|"),_xlpm.key&amp;"空"&amp;"|","|"),_xlpm.key&amp;"TBD"&amp;"|","|"),_xlpm.key&amp;"待定"&amp;"|","|"),_xlpm.value,IFERROR(TRIM(_xlfn.TEXTBEFORE(_xlfn.TEXTAFTER(_xlpm.clean,_xlpm.key,-1,0,0,""),"|",1,0,0,"")),""),IF(_xlpm.value="","待定",_xlpm.value))</f>
        <v>思玮</v>
      </c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5"/>
    </row>
    <row r="27" spans="1:14">
      <c r="A27" s="161" t="s">
        <v>150</v>
      </c>
      <c r="B27" s="160" t="str">
        <f>_xlfn.LET(_xlpm.token,$B$2&amp;"|",_xlpm.key,"|"&amp;A27&amp;":",_xlpm.clean,SUBSTITUTE(SUBSTITUTE(SUBSTITUTE(SUBSTITUTE(SUBSTITUTE(SUBSTITUTE(_xlpm.token,_xlpm.key&amp;"[玫瑰]"&amp;"|","|"),_xlpm.key&amp;"[烟花]"&amp;"|","|"),_xlpm.key&amp;"待报名"&amp;"|","|"),_xlpm.key&amp;"空"&amp;"|","|"),_xlpm.key&amp;"TBD"&amp;"|","|"),_xlpm.key&amp;"待定"&amp;"|","|"),_xlpm.value,IFERROR(TRIM(_xlfn.TEXTBEFORE(_xlfn.TEXTAFTER(_xlpm.clean,_xlpm.key,-1,0,0,""),"|",1,0,0,"")),""),IF(_xlpm.value="","待定",_xlpm.value))</f>
        <v>卡卡</v>
      </c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5"/>
    </row>
    <row r="28" spans="1:14">
      <c r="A28" s="166" t="s">
        <v>260</v>
      </c>
      <c r="B28" s="167" t="str">
        <f>_xlfn.LET(_xlpm.token,$B$2&amp;"|",_xlpm.key,"|"&amp;A28&amp;":",_xlpm.clean,SUBSTITUTE(SUBSTITUTE(SUBSTITUTE(SUBSTITUTE(SUBSTITUTE(SUBSTITUTE(_xlpm.token,_xlpm.key&amp;"[玫瑰]"&amp;"|","|"),_xlpm.key&amp;"[烟花]"&amp;"|","|"),_xlpm.key&amp;"待报名"&amp;"|","|"),_xlpm.key&amp;"空"&amp;"|","|"),_xlpm.key&amp;"TBD"&amp;"|","|"),_xlpm.key&amp;"待定"&amp;"|","|"),_xlpm.value,IFERROR(TRIM(_xlfn.TEXTBEFORE(_xlfn.TEXTAFTER(_xlpm.clean,_xlpm.key,-1,0,0,""),"|",1,0,0,"")),""),IF(_xlpm.value="","待定",_xlpm.value))</f>
        <v>ALL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8"/>
    </row>
    <row r="29" spans="1:14" ht="14.4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</row>
    <row r="30" spans="1:14" ht="14.4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</row>
    <row r="31" spans="1:14" ht="14.4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</row>
    <row r="32" spans="1:14" ht="14.4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</row>
  </sheetData>
  <sheetProtection sheet="1" objects="1" scenarios="1"/>
  <mergeCells count="1">
    <mergeCell ref="A1:N1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2</vt:i4>
      </vt:variant>
    </vt:vector>
  </HeadingPairs>
  <TitlesOfParts>
    <vt:vector size="9" baseType="lpstr">
      <vt:lpstr>操作台</vt:lpstr>
      <vt:lpstr>议程编辑</vt:lpstr>
      <vt:lpstr>A4议程</vt:lpstr>
      <vt:lpstr>A4续页</vt:lpstr>
      <vt:lpstr>模板库</vt:lpstr>
      <vt:lpstr>基础资料</vt:lpstr>
      <vt:lpstr>计算区</vt:lpstr>
      <vt:lpstr>A4续页!Print_Area</vt:lpstr>
      <vt:lpstr>A4议程!Print_Area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WX Pan</cp:lastModifiedBy>
  <dcterms:modified xsi:type="dcterms:W3CDTF">2026-07-17T03:52:05Z</dcterms:modified>
</cp:coreProperties>
</file>